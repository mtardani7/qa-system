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2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ocuments\"/>
    </mc:Choice>
  </mc:AlternateContent>
  <xr:revisionPtr revIDLastSave="0" documentId="8_{946D49A1-E166-4728-B257-B0F01A2504B1}" xr6:coauthVersionLast="47" xr6:coauthVersionMax="47" xr10:uidLastSave="{00000000-0000-0000-0000-000000000000}"/>
  <bookViews>
    <workbookView xWindow="-110" yWindow="-110" windowWidth="19420" windowHeight="10300" activeTab="3" xr2:uid="{00000000-000D-0000-FFFF-FFFF00000000}"/>
  </bookViews>
  <sheets>
    <sheet name="Defect WIP" sheetId="33" r:id="rId1"/>
    <sheet name="Resume WIP" sheetId="34" r:id="rId2"/>
    <sheet name="Defect FG" sheetId="32" r:id="rId3"/>
    <sheet name="Resume FG" sheetId="23" r:id="rId4"/>
  </sheets>
  <definedNames>
    <definedName name="_xlnm._FilterDatabase" localSheetId="3" hidden="1">'Resume FG'!$B$34:$F$58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8" i="34" l="1"/>
  <c r="C7" i="23"/>
  <c r="F7" i="23" s="1"/>
  <c r="D69" i="34"/>
  <c r="E48" i="34" s="1"/>
  <c r="E34" i="34"/>
  <c r="P4" i="34" s="1"/>
  <c r="F48" i="34" l="1"/>
  <c r="E50" i="34"/>
  <c r="E51" i="34"/>
  <c r="E52" i="34"/>
  <c r="E53" i="34"/>
  <c r="E54" i="34"/>
  <c r="E55" i="34"/>
  <c r="E56" i="34"/>
  <c r="E57" i="34"/>
  <c r="E58" i="34"/>
  <c r="E59" i="34"/>
  <c r="E60" i="34"/>
  <c r="E61" i="34"/>
  <c r="E62" i="34"/>
  <c r="E63" i="34"/>
  <c r="E64" i="34"/>
  <c r="E65" i="34"/>
  <c r="E66" i="34"/>
  <c r="E67" i="34"/>
  <c r="E68" i="34"/>
  <c r="E49" i="34"/>
  <c r="C57" i="23"/>
  <c r="F49" i="34" l="1"/>
  <c r="F50" i="34" s="1"/>
  <c r="F51" i="34" s="1"/>
  <c r="F52" i="34" s="1"/>
  <c r="F53" i="34" s="1"/>
  <c r="F54" i="34" s="1"/>
  <c r="F55" i="34" s="1"/>
  <c r="F56" i="34" s="1"/>
  <c r="F57" i="34" s="1"/>
  <c r="F58" i="34" s="1"/>
  <c r="F59" i="34" s="1"/>
  <c r="F60" i="34" s="1"/>
  <c r="F61" i="34" s="1"/>
  <c r="F62" i="34" s="1"/>
  <c r="F63" i="34" s="1"/>
  <c r="F64" i="34" s="1"/>
  <c r="F65" i="34" s="1"/>
  <c r="F66" i="34" s="1"/>
  <c r="F67" i="34" s="1"/>
  <c r="F68" i="34" s="1"/>
  <c r="E37" i="23"/>
  <c r="E40" i="23"/>
  <c r="E44" i="23"/>
  <c r="E46" i="23"/>
  <c r="E50" i="23"/>
  <c r="E53" i="23"/>
  <c r="E55" i="23"/>
  <c r="E56" i="23"/>
  <c r="E38" i="23"/>
  <c r="E41" i="23"/>
  <c r="E42" i="23"/>
  <c r="E43" i="23"/>
  <c r="E45" i="23"/>
  <c r="E47" i="23"/>
  <c r="E48" i="23"/>
  <c r="E49" i="23"/>
  <c r="E51" i="23"/>
  <c r="E52" i="23"/>
  <c r="E54" i="23"/>
  <c r="E39" i="23"/>
  <c r="E20" i="34" l="1"/>
  <c r="P5" i="34" s="1"/>
  <c r="E44" i="34" l="1"/>
  <c r="P6" i="34" s="1"/>
  <c r="E7" i="34" l="1"/>
  <c r="P7" i="34" s="1"/>
  <c r="P8" i="34" s="1"/>
  <c r="C92" i="23" l="1"/>
  <c r="E90" i="23" l="1"/>
  <c r="E89" i="23"/>
  <c r="E91" i="23"/>
  <c r="C82" i="23"/>
  <c r="E35" i="23" l="1"/>
  <c r="F35" i="23" s="1"/>
  <c r="E76" i="23"/>
  <c r="E75" i="23"/>
  <c r="E66" i="23"/>
  <c r="E70" i="23"/>
  <c r="E74" i="23"/>
  <c r="E79" i="23"/>
  <c r="E68" i="23"/>
  <c r="E77" i="23"/>
  <c r="E80" i="23"/>
  <c r="E65" i="23"/>
  <c r="E73" i="23"/>
  <c r="E67" i="23"/>
  <c r="E71" i="23"/>
  <c r="E64" i="23"/>
  <c r="E72" i="23"/>
  <c r="E69" i="23"/>
  <c r="E78" i="23"/>
  <c r="E81" i="23"/>
  <c r="E115" i="34"/>
  <c r="E116" i="34" l="1"/>
  <c r="D99" i="34" l="1"/>
  <c r="E85" i="34" l="1"/>
  <c r="E97" i="34"/>
  <c r="E95" i="34"/>
  <c r="E84" i="34"/>
  <c r="F84" i="34" s="1"/>
  <c r="E87" i="34"/>
  <c r="E98" i="34"/>
  <c r="E93" i="34"/>
  <c r="E86" i="34"/>
  <c r="E91" i="34"/>
  <c r="E94" i="34"/>
  <c r="E96" i="34"/>
  <c r="E92" i="34"/>
  <c r="F85" i="34" l="1"/>
  <c r="F86" i="34" s="1"/>
  <c r="F87" i="34" s="1"/>
  <c r="F91" i="34" s="1"/>
  <c r="F92" i="34" s="1"/>
  <c r="F93" i="34" s="1"/>
  <c r="F94" i="34" s="1"/>
  <c r="F95" i="34" s="1"/>
  <c r="F96" i="34" s="1"/>
  <c r="F97" i="34" s="1"/>
  <c r="F98" i="34" s="1"/>
  <c r="E119" i="34"/>
  <c r="E36" i="23" l="1"/>
  <c r="C117" i="23" l="1"/>
  <c r="E114" i="23" l="1"/>
  <c r="E113" i="23"/>
  <c r="E115" i="23"/>
  <c r="E111" i="23"/>
  <c r="E107" i="23"/>
  <c r="E116" i="23"/>
  <c r="E106" i="23"/>
  <c r="E112" i="23"/>
  <c r="E109" i="23"/>
  <c r="E108" i="23"/>
  <c r="E110" i="23"/>
  <c r="E105" i="23"/>
  <c r="E63" i="23" l="1"/>
  <c r="E61" i="23"/>
  <c r="F61" i="23" s="1"/>
  <c r="E62" i="23"/>
  <c r="F36" i="23"/>
  <c r="F37" i="23" s="1"/>
  <c r="F38" i="23" s="1"/>
  <c r="F39" i="23" s="1"/>
  <c r="F40" i="23" s="1"/>
  <c r="F41" i="23" s="1"/>
  <c r="F42" i="23" s="1"/>
  <c r="F43" i="23" s="1"/>
  <c r="F44" i="23" s="1"/>
  <c r="F45" i="23" s="1"/>
  <c r="F46" i="23" s="1"/>
  <c r="F47" i="23" s="1"/>
  <c r="F48" i="23" s="1"/>
  <c r="F49" i="23" s="1"/>
  <c r="F50" i="23" s="1"/>
  <c r="F51" i="23" s="1"/>
  <c r="F52" i="23" s="1"/>
  <c r="F53" i="23" s="1"/>
  <c r="F54" i="23" s="1"/>
  <c r="F55" i="23" s="1"/>
  <c r="F56" i="23" s="1"/>
  <c r="F62" i="23" l="1"/>
  <c r="F63" i="23" s="1"/>
  <c r="F64" i="23" s="1"/>
  <c r="F65" i="23" s="1"/>
  <c r="F66" i="23" s="1"/>
  <c r="F67" i="23" s="1"/>
  <c r="F68" i="23" s="1"/>
  <c r="F69" i="23" s="1"/>
  <c r="F70" i="23" s="1"/>
  <c r="F71" i="23" s="1"/>
  <c r="F72" i="23" s="1"/>
  <c r="F73" i="23" s="1"/>
  <c r="F74" i="23" s="1"/>
  <c r="F75" i="23" l="1"/>
  <c r="F76" i="23" s="1"/>
  <c r="F77" i="23" s="1"/>
  <c r="F78" i="23" s="1"/>
  <c r="F79" i="23" s="1"/>
  <c r="F80" i="23" s="1"/>
  <c r="F81" i="23" s="1"/>
</calcChain>
</file>

<file path=xl/sharedStrings.xml><?xml version="1.0" encoding="utf-8"?>
<sst xmlns="http://schemas.openxmlformats.org/spreadsheetml/2006/main" count="353" uniqueCount="153">
  <si>
    <t>Defect</t>
  </si>
  <si>
    <t>Qty
(pcs)</t>
  </si>
  <si>
    <t>GCM 1</t>
  </si>
  <si>
    <t>GCM 2</t>
  </si>
  <si>
    <t>KOTOR BAGIAN DALAM (EMBALASE)</t>
  </si>
  <si>
    <t>KOTOR BAGIAN LUAR (OLI)</t>
  </si>
  <si>
    <t>%</t>
  </si>
  <si>
    <t>Cumulative</t>
  </si>
  <si>
    <t>Repeat issue</t>
  </si>
  <si>
    <t>INSPECTOR FINDING (FG PRODUCT)</t>
  </si>
  <si>
    <t>Item per day (AVG)</t>
  </si>
  <si>
    <t>Item per shift (AVG)</t>
  </si>
  <si>
    <t>SUMMARY ITEM RUNNING &amp; CHANGE OVER</t>
  </si>
  <si>
    <t>MACHINE</t>
  </si>
  <si>
    <t>MC/ Process FG</t>
  </si>
  <si>
    <t>Issue</t>
  </si>
  <si>
    <t>REPEAT ISSUE (FG PRODUCT)</t>
  </si>
  <si>
    <t>DEFECT CRITERIA</t>
  </si>
  <si>
    <t>Defect criteria</t>
  </si>
  <si>
    <t>Qty</t>
  </si>
  <si>
    <t>Change over</t>
  </si>
  <si>
    <t>Machine</t>
  </si>
  <si>
    <t>MANUAL CAPPING</t>
  </si>
  <si>
    <t>TECHNOSELL 2</t>
  </si>
  <si>
    <t>TECHNOSELL 1</t>
  </si>
  <si>
    <t>WEEKLY REPORT RPID3</t>
  </si>
  <si>
    <t>GCM 4</t>
  </si>
  <si>
    <t>GCM 3</t>
  </si>
  <si>
    <t>KOTOR BAGIAN DALAM (DEBU)</t>
  </si>
  <si>
    <t>KOTOR PRINT</t>
  </si>
  <si>
    <t>CAP REX</t>
  </si>
  <si>
    <t>POLYTYPE</t>
  </si>
  <si>
    <t>BORE FLASH</t>
  </si>
  <si>
    <t>MADAG 3</t>
  </si>
  <si>
    <t>BRONSON</t>
  </si>
  <si>
    <t>MC</t>
  </si>
  <si>
    <t>SLEEVE</t>
  </si>
  <si>
    <t>BREYER 1</t>
  </si>
  <si>
    <t>BREYER 2</t>
  </si>
  <si>
    <t>ITEM RUNING</t>
  </si>
  <si>
    <t>AISA 61</t>
  </si>
  <si>
    <t>AISA 62</t>
  </si>
  <si>
    <t>AISA 63</t>
  </si>
  <si>
    <t>AISA 64</t>
  </si>
  <si>
    <t>AISA 80</t>
  </si>
  <si>
    <t>SENBAR 1</t>
  </si>
  <si>
    <t>SENBAR 2</t>
  </si>
  <si>
    <t>WUTUNG 2</t>
  </si>
  <si>
    <t>WUTUNG 3</t>
  </si>
  <si>
    <t>ISIMAT</t>
  </si>
  <si>
    <t>HEADING</t>
  </si>
  <si>
    <t>DECORATION</t>
  </si>
  <si>
    <t>SECTION</t>
  </si>
  <si>
    <t>PRINTING</t>
  </si>
  <si>
    <t>BLOK BELANG</t>
  </si>
  <si>
    <t>CAPPING (SET)</t>
  </si>
  <si>
    <t>VARNISH MAMEL</t>
  </si>
  <si>
    <t>BORE BUNTU</t>
  </si>
  <si>
    <t>TEKS PETHAL</t>
  </si>
  <si>
    <t>SCREW FLASH</t>
  </si>
  <si>
    <t>OVERLAP RENGGANG</t>
  </si>
  <si>
    <t>PRINT BLOBOR</t>
  </si>
  <si>
    <t>GELEMBUNG BAGIAN ATAS</t>
  </si>
  <si>
    <t>HEADER TERBALIK</t>
  </si>
  <si>
    <t>SIDEN 1</t>
  </si>
  <si>
    <t>W41</t>
  </si>
  <si>
    <t>CAP KENDOR</t>
  </si>
  <si>
    <t>Kotor oli</t>
  </si>
  <si>
    <t>MANUAL</t>
  </si>
  <si>
    <t>TECHNOSELL</t>
  </si>
  <si>
    <t>MESIN</t>
  </si>
  <si>
    <t>FREKUENSI</t>
  </si>
  <si>
    <t>Total FG run</t>
  </si>
  <si>
    <t>Kategori</t>
  </si>
  <si>
    <t>CRITICAL</t>
  </si>
  <si>
    <t>MAJOR</t>
  </si>
  <si>
    <t>MINOR</t>
  </si>
  <si>
    <t>CAP MIRING</t>
  </si>
  <si>
    <t>CAP NOT POSITIONING</t>
  </si>
  <si>
    <t>CAP RENGGANG</t>
  </si>
  <si>
    <t>KOTOR BAGIAN DALAM (OLI)</t>
  </si>
  <si>
    <t>TUBE PENYOK</t>
  </si>
  <si>
    <t>CO HEADING</t>
  </si>
  <si>
    <t>CO DECORATION</t>
  </si>
  <si>
    <t>CO SET</t>
  </si>
  <si>
    <t>CHANGE OVER</t>
  </si>
  <si>
    <t>Mesin</t>
  </si>
  <si>
    <t>Technosel 2</t>
  </si>
  <si>
    <t>Politype</t>
  </si>
  <si>
    <t>Frekuensi temuan</t>
  </si>
  <si>
    <t>Manual capping</t>
  </si>
  <si>
    <t>Item</t>
  </si>
  <si>
    <t>646901005713 T. AMTRSN PSCL SNSRN 30G R2</t>
  </si>
  <si>
    <t>T. W. LGHTNG FRESH BB TINT 02 15ML</t>
  </si>
  <si>
    <t>T. W. LGHTNG FRESH BB TINT 03 15ML</t>
  </si>
  <si>
    <t>T. W. LGHTNG FRESH BB TINT 01 15ML</t>
  </si>
  <si>
    <t>MM</t>
  </si>
  <si>
    <t>Blowing</t>
  </si>
  <si>
    <t>Y ( Topseal)</t>
  </si>
  <si>
    <t>N</t>
  </si>
  <si>
    <t>Without blowing</t>
  </si>
  <si>
    <t>DEFECT</t>
  </si>
  <si>
    <t>QTY
(pcs)</t>
  </si>
  <si>
    <t>CATEGORIES</t>
  </si>
  <si>
    <t>CUMULATIVE</t>
  </si>
  <si>
    <t>CRITERIA</t>
  </si>
  <si>
    <t>Before</t>
  </si>
  <si>
    <t>Trial</t>
  </si>
  <si>
    <t>VARNISH BERLUBANG/BERCAK</t>
  </si>
  <si>
    <t>KETIDAKSESUAIAN KONDISI PACKING</t>
  </si>
  <si>
    <t>EXTRUSION</t>
  </si>
  <si>
    <t>HEADER GESER</t>
  </si>
  <si>
    <t>HEADER CACAT</t>
  </si>
  <si>
    <t>WARNA TEXT MERAH &lt; LOWER</t>
  </si>
  <si>
    <t>PRINT PETHAL</t>
  </si>
  <si>
    <t>CAP COPOT</t>
  </si>
  <si>
    <t>CAP KOTOR</t>
  </si>
  <si>
    <t>TOP SEAL MIRING</t>
  </si>
  <si>
    <t>SET</t>
  </si>
  <si>
    <t>PLTP</t>
  </si>
  <si>
    <t>SIDEN CAPPING</t>
  </si>
  <si>
    <t>SIDEN 2</t>
  </si>
  <si>
    <t>SIDEN LABEL</t>
  </si>
  <si>
    <t>MADAG 2</t>
  </si>
  <si>
    <t>SEALING</t>
  </si>
  <si>
    <t>CO EXTRUSION</t>
  </si>
  <si>
    <t>Jumat to Kamis</t>
  </si>
  <si>
    <t xml:space="preserve"> </t>
  </si>
  <si>
    <t>TECHNOSHELL 1</t>
  </si>
  <si>
    <t>TECHNOSHELL 2</t>
  </si>
  <si>
    <t>SIDEN OFFSET</t>
  </si>
  <si>
    <t>SERABUT (PROSES CAPPING)</t>
  </si>
  <si>
    <t>RED</t>
  </si>
  <si>
    <t>INTOLERANCE</t>
  </si>
  <si>
    <t>VARNISH KASAR</t>
  </si>
  <si>
    <t>CAP SCRATCH</t>
  </si>
  <si>
    <t>WHITE GAP &gt; STANDARD</t>
  </si>
  <si>
    <t>WARNA&gt; UPPER</t>
  </si>
  <si>
    <t>CAP DOL</t>
  </si>
  <si>
    <t>HEADER MELIPAT</t>
  </si>
  <si>
    <t>LAYOUT GESER/MISREGISTER</t>
  </si>
  <si>
    <t>OVERLAP KASAR / BLOBOR</t>
  </si>
  <si>
    <t>PEEL OFF AREA BANNER</t>
  </si>
  <si>
    <t>SCRATCH</t>
  </si>
  <si>
    <t>TUBE GELEMBUNG BAGIAN ATAS</t>
  </si>
  <si>
    <t>VARNISH BELANG</t>
  </si>
  <si>
    <t>WARNA &lt; LOWER</t>
  </si>
  <si>
    <t>WARNA &gt; UPPER</t>
  </si>
  <si>
    <t>CAP CACAT</t>
  </si>
  <si>
    <t>CAP MEKAR</t>
  </si>
  <si>
    <t>HEADER KONTAMINASI</t>
  </si>
  <si>
    <t>GRADASI BELANG</t>
  </si>
  <si>
    <t>STAMPING GESER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</si>
</sst>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19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8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color rgb="FF00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1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2">
    <xf numFmtId="0" fontId="0" fillId="0" borderId="0"/>
    <xf numFmtId="9" fontId="15" fillId="0" borderId="0" applyFont="0" applyFill="0" applyBorder="0" applyAlignment="0" applyProtection="0"/>
  </cellStyleXfs>
  <cellXfs count="75">
    <xf numFmtId="0" fontId="0" fillId="0" borderId="0" xfId="0"/>
    <xf numFmtId="0" fontId="0" fillId="0" borderId="2" xfId="0" applyBorder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8" fillId="0" borderId="0" xfId="0" applyFont="1" applyAlignment="1">
      <alignment vertical="center"/>
    </xf>
    <xf numFmtId="2" fontId="0" fillId="0" borderId="2" xfId="0" applyNumberFormat="1" applyBorder="1" applyAlignment="1">
      <alignment horizontal="center" vertical="center"/>
    </xf>
    <xf numFmtId="0" fontId="3" fillId="0" borderId="0" xfId="0" applyFont="1" applyAlignment="1" applyProtection="1">
      <alignment horizontal="left" vertical="center" wrapText="1"/>
      <protection locked="0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11" fillId="0" borderId="0" xfId="0" applyFont="1" applyAlignment="1" applyProtection="1">
      <alignment horizontal="left" vertical="center" wrapText="1"/>
      <protection locked="0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0" fontId="0" fillId="2" borderId="2" xfId="0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/>
    </xf>
    <xf numFmtId="2" fontId="6" fillId="0" borderId="2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10" fillId="0" borderId="2" xfId="0" applyFont="1" applyBorder="1" applyAlignment="1" applyProtection="1">
      <alignment horizontal="center" vertical="center" wrapText="1"/>
      <protection locked="0"/>
    </xf>
    <xf numFmtId="0" fontId="10" fillId="2" borderId="2" xfId="0" applyFont="1" applyFill="1" applyBorder="1" applyAlignment="1" applyProtection="1">
      <alignment horizontal="center" vertical="center" wrapText="1"/>
      <protection locked="0"/>
    </xf>
    <xf numFmtId="0" fontId="14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9" fontId="0" fillId="0" borderId="2" xfId="1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14" fillId="0" borderId="1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2" borderId="2" xfId="0" applyFill="1" applyBorder="1" applyAlignment="1">
      <alignment horizontal="center"/>
    </xf>
    <xf numFmtId="0" fontId="0" fillId="0" borderId="2" xfId="0" applyBorder="1" applyAlignment="1">
      <alignment horizontal="left"/>
    </xf>
    <xf numFmtId="0" fontId="0" fillId="0" borderId="2" xfId="0" applyBorder="1" applyAlignment="1">
      <alignment vertical="center"/>
    </xf>
    <xf numFmtId="0" fontId="14" fillId="0" borderId="0" xfId="0" applyFont="1" applyAlignment="1">
      <alignment horizontal="center" vertical="center"/>
    </xf>
    <xf numFmtId="0" fontId="10" fillId="2" borderId="0" xfId="0" applyFont="1" applyFill="1" applyAlignment="1">
      <alignment horizontal="center" vertical="center" wrapText="1"/>
    </xf>
    <xf numFmtId="0" fontId="10" fillId="2" borderId="12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 wrapText="1"/>
    </xf>
    <xf numFmtId="0" fontId="5" fillId="0" borderId="2" xfId="0" applyFont="1" applyBorder="1" applyAlignment="1" applyProtection="1">
      <alignment horizontal="center" vertical="center" wrapText="1"/>
      <protection locked="0"/>
    </xf>
    <xf numFmtId="0" fontId="0" fillId="0" borderId="0" xfId="0" applyAlignment="1">
      <alignment horizontal="left"/>
    </xf>
    <xf numFmtId="0" fontId="17" fillId="0" borderId="0" xfId="0" applyFont="1" applyAlignment="1">
      <alignment vertical="center"/>
    </xf>
    <xf numFmtId="0" fontId="0" fillId="3" borderId="2" xfId="0" applyFill="1" applyBorder="1" applyAlignment="1">
      <alignment horizontal="center"/>
    </xf>
    <xf numFmtId="0" fontId="6" fillId="0" borderId="0" xfId="0" applyFont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6" fillId="0" borderId="2" xfId="0" applyFont="1" applyBorder="1" applyAlignment="1">
      <alignment vertical="center" wrapText="1"/>
    </xf>
    <xf numFmtId="0" fontId="0" fillId="2" borderId="11" xfId="0" applyFill="1" applyBorder="1" applyAlignment="1">
      <alignment horizontal="center" vertical="center"/>
    </xf>
    <xf numFmtId="2" fontId="6" fillId="0" borderId="11" xfId="0" applyNumberFormat="1" applyFont="1" applyBorder="1" applyAlignment="1">
      <alignment horizontal="center" vertical="center"/>
    </xf>
    <xf numFmtId="0" fontId="6" fillId="0" borderId="0" xfId="0" applyFont="1" applyAlignment="1">
      <alignment vertical="center" wrapText="1"/>
    </xf>
    <xf numFmtId="0" fontId="10" fillId="4" borderId="3" xfId="0" applyFont="1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/>
    </xf>
    <xf numFmtId="0" fontId="5" fillId="4" borderId="1" xfId="0" applyFont="1" applyFill="1" applyBorder="1" applyAlignment="1" applyProtection="1">
      <alignment horizontal="left" vertical="center" wrapText="1"/>
      <protection locked="0"/>
    </xf>
    <xf numFmtId="0" fontId="5" fillId="4" borderId="1" xfId="0" applyFont="1" applyFill="1" applyBorder="1" applyAlignment="1" applyProtection="1">
      <alignment horizontal="center" vertical="center" wrapText="1"/>
      <protection locked="0"/>
    </xf>
    <xf numFmtId="2" fontId="6" fillId="4" borderId="2" xfId="0" applyNumberFormat="1" applyFont="1" applyFill="1" applyBorder="1" applyAlignment="1">
      <alignment horizontal="center" vertical="center"/>
    </xf>
    <xf numFmtId="0" fontId="5" fillId="4" borderId="0" xfId="0" applyFont="1" applyFill="1" applyAlignment="1" applyProtection="1">
      <alignment horizontal="left" vertical="center" wrapText="1"/>
      <protection locked="0"/>
    </xf>
    <xf numFmtId="0" fontId="0" fillId="4" borderId="0" xfId="0" applyFill="1" applyAlignment="1">
      <alignment horizontal="center"/>
    </xf>
    <xf numFmtId="0" fontId="4" fillId="0" borderId="0" xfId="0" applyFont="1" applyAlignment="1">
      <alignment horizontal="left"/>
    </xf>
    <xf numFmtId="0" fontId="10" fillId="4" borderId="2" xfId="0" applyFont="1" applyFill="1" applyBorder="1" applyAlignment="1">
      <alignment horizontal="center" vertical="center" wrapText="1"/>
    </xf>
    <xf numFmtId="0" fontId="16" fillId="4" borderId="2" xfId="0" applyFont="1" applyFill="1" applyBorder="1" applyAlignment="1" applyProtection="1">
      <alignment horizontal="left" vertical="center" wrapText="1"/>
      <protection locked="0"/>
    </xf>
    <xf numFmtId="0" fontId="6" fillId="4" borderId="2" xfId="0" applyFont="1" applyFill="1" applyBorder="1" applyAlignment="1">
      <alignment horizontal="center" vertical="center"/>
    </xf>
    <xf numFmtId="0" fontId="16" fillId="4" borderId="1" xfId="0" applyFont="1" applyFill="1" applyBorder="1" applyAlignment="1" applyProtection="1">
      <alignment horizontal="left" vertical="center" wrapText="1"/>
      <protection locked="0"/>
    </xf>
    <xf numFmtId="0" fontId="3" fillId="4" borderId="0" xfId="0" applyFont="1" applyFill="1" applyAlignment="1" applyProtection="1">
      <alignment horizontal="left" vertical="center" wrapText="1"/>
      <protection locked="0"/>
    </xf>
    <xf numFmtId="0" fontId="1" fillId="4" borderId="0" xfId="0" applyFont="1" applyFill="1" applyAlignment="1">
      <alignment horizontal="center" vertical="center"/>
    </xf>
    <xf numFmtId="0" fontId="0" fillId="4" borderId="0" xfId="0" applyFill="1" applyAlignment="1">
      <alignment vertical="center"/>
    </xf>
    <xf numFmtId="0" fontId="0" fillId="4" borderId="2" xfId="0" applyFill="1" applyBorder="1" applyAlignment="1">
      <alignment horizontal="left"/>
    </xf>
    <xf numFmtId="0" fontId="0" fillId="4" borderId="2" xfId="0" applyFill="1" applyBorder="1" applyAlignment="1">
      <alignment horizontal="center"/>
    </xf>
    <xf numFmtId="0" fontId="4" fillId="0" borderId="0" xfId="0" applyFont="1" applyAlignment="1">
      <alignment horizontal="center"/>
    </xf>
    <xf numFmtId="0" fontId="16" fillId="0" borderId="2" xfId="0" applyFont="1" applyBorder="1" applyAlignment="1">
      <alignment horizontal="center" vertical="center"/>
    </xf>
    <xf numFmtId="16" fontId="0" fillId="0" borderId="0" xfId="0" applyNumberFormat="1" applyAlignment="1">
      <alignment horizontal="center"/>
    </xf>
    <xf numFmtId="165" fontId="0" fillId="0" borderId="2" xfId="1" applyNumberFormat="1" applyFont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colors>
    <mruColors>
      <color rgb="FFF6882E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2"/>
                </a:solidFill>
              </a:rPr>
              <a:t>REPEAT ISSUE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'Resume WIP'!$D$83</c:f>
              <c:strCache>
                <c:ptCount val="1"/>
                <c:pt idx="0">
                  <c:v>Qty
(pcs)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'Resume WIP'!$B$84:$B$98</c:f>
            </c:multiLvlStrRef>
          </c:cat>
          <c:val>
            <c:numRef>
              <c:f>'Resume WIP'!$D$84:$D$98</c:f>
            </c:numRef>
          </c:val>
          <c:extLst>
            <c:ext xmlns:c16="http://schemas.microsoft.com/office/drawing/2014/chart" uri="{C3380CC4-5D6E-409C-BE32-E72D297353CC}">
              <c16:uniqueId val="{00000000-6D65-4886-82DD-CF89CC5261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879064936"/>
        <c:axId val="879064152"/>
      </c:barChart>
      <c:lineChart>
        <c:grouping val="standard"/>
        <c:varyColors val="0"/>
        <c:ser>
          <c:idx val="1"/>
          <c:order val="1"/>
          <c:tx>
            <c:strRef>
              <c:f>'Resume WIP'!$F$83</c:f>
              <c:strCache>
                <c:ptCount val="1"/>
                <c:pt idx="0">
                  <c:v>Cumulative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'Resume WIP'!$B$84:$B$98</c:f>
            </c:multiLvlStrRef>
          </c:cat>
          <c:val>
            <c:numRef>
              <c:f>'Resume WIP'!$F$84:$F$98</c:f>
            </c:numRef>
          </c:val>
          <c:smooth val="0"/>
          <c:extLst>
            <c:ext xmlns:c16="http://schemas.microsoft.com/office/drawing/2014/chart" uri="{C3380CC4-5D6E-409C-BE32-E72D297353CC}">
              <c16:uniqueId val="{00000001-6D65-4886-82DD-CF89CC5261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79065720"/>
        <c:axId val="879065328"/>
      </c:lineChart>
      <c:catAx>
        <c:axId val="879064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9064152"/>
        <c:crosses val="autoZero"/>
        <c:auto val="1"/>
        <c:lblAlgn val="ctr"/>
        <c:lblOffset val="100"/>
        <c:noMultiLvlLbl val="0"/>
      </c:catAx>
      <c:valAx>
        <c:axId val="879064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9064936"/>
        <c:crosses val="autoZero"/>
        <c:crossBetween val="between"/>
      </c:valAx>
      <c:valAx>
        <c:axId val="879065328"/>
        <c:scaling>
          <c:orientation val="minMax"/>
          <c:max val="100"/>
        </c:scaling>
        <c:delete val="0"/>
        <c:axPos val="r"/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9065720"/>
        <c:crosses val="max"/>
        <c:crossBetween val="between"/>
      </c:valAx>
      <c:catAx>
        <c:axId val="87906572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87906532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'Resume WIP'!$E$114</c:f>
              <c:strCache>
                <c:ptCount val="1"/>
                <c:pt idx="0">
                  <c:v>ITEM RUNING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C198-4746-89E2-18BFDE0B0C2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C198-4746-89E2-18BFDE0B0C2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C198-4746-89E2-18BFDE0B0C2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C198-4746-89E2-18BFDE0B0C2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C198-4746-89E2-18BFDE0B0C2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multiLvlStrRef>
              <c:f>'Resume WIP'!$D$115:$D$118</c:f>
            </c:multiLvlStrRef>
          </c:cat>
          <c:val>
            <c:numRef>
              <c:f>'Resume WIP'!$E$115:$E$118</c:f>
            </c:numRef>
          </c:val>
          <c:extLst>
            <c:ext xmlns:c16="http://schemas.microsoft.com/office/drawing/2014/chart" uri="{C3380CC4-5D6E-409C-BE32-E72D297353CC}">
              <c16:uniqueId val="{0000000A-C198-4746-89E2-18BFDE0B0C2D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TEMUAN SAMPLING W36</a:t>
            </a:r>
          </a:p>
        </c:rich>
      </c:tx>
      <c:layout>
        <c:manualLayout>
          <c:xMode val="edge"/>
          <c:yMode val="edge"/>
          <c:x val="0.33249102696085253"/>
          <c:y val="3.389829000476444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'Resume WIP'!$D$47</c:f>
              <c:strCache>
                <c:ptCount val="1"/>
                <c:pt idx="0">
                  <c:v>QTY
(pcs)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'Resume WIP'!$B$48:$B$68</c:f>
              <c:strCache>
                <c:ptCount val="21"/>
                <c:pt idx="0">
                  <c:v>LAYOUT GESER/MISREGISTER</c:v>
                </c:pt>
                <c:pt idx="1">
                  <c:v>SCRATCH</c:v>
                </c:pt>
                <c:pt idx="2">
                  <c:v>CAP RENGGANG</c:v>
                </c:pt>
                <c:pt idx="3">
                  <c:v>HEADER MELIPAT</c:v>
                </c:pt>
                <c:pt idx="4">
                  <c:v>OVERLAP KASAR / BLOBOR</c:v>
                </c:pt>
                <c:pt idx="5">
                  <c:v>PEEL OFF AREA BANNER</c:v>
                </c:pt>
                <c:pt idx="6">
                  <c:v>WARNA &gt; UPPER</c:v>
                </c:pt>
                <c:pt idx="7">
                  <c:v>OVERLAP RENGGANG</c:v>
                </c:pt>
                <c:pt idx="8">
                  <c:v>KOTOR BAGIAN DALAM (EMBALASE)</c:v>
                </c:pt>
                <c:pt idx="9">
                  <c:v>KOTOR BAGIAN LUAR (OLI)</c:v>
                </c:pt>
                <c:pt idx="10">
                  <c:v>TUBE GELEMBUNG BAGIAN ATAS</c:v>
                </c:pt>
                <c:pt idx="11">
                  <c:v>TUBE PENYOK</c:v>
                </c:pt>
                <c:pt idx="12">
                  <c:v>VARNISH BERLUBANG/BERCAK</c:v>
                </c:pt>
                <c:pt idx="13">
                  <c:v>VARNISH BELANG</c:v>
                </c:pt>
                <c:pt idx="14">
                  <c:v>CAP KENDOR</c:v>
                </c:pt>
                <c:pt idx="15">
                  <c:v>CAP DOL</c:v>
                </c:pt>
                <c:pt idx="16">
                  <c:v>HEADER GESER</c:v>
                </c:pt>
                <c:pt idx="17">
                  <c:v>KOTOR PRINT</c:v>
                </c:pt>
                <c:pt idx="18">
                  <c:v>VARNISH KASAR</c:v>
                </c:pt>
                <c:pt idx="19">
                  <c:v>WARNA &lt; LOWER</c:v>
                </c:pt>
                <c:pt idx="20">
                  <c:v>KETIDAKSESUAIAN KONDISI PACKING</c:v>
                </c:pt>
              </c:strCache>
            </c:strRef>
          </c:cat>
          <c:val>
            <c:numRef>
              <c:f>'Resume WIP'!$D$48:$D$68</c:f>
              <c:numCache>
                <c:formatCode>General</c:formatCode>
                <c:ptCount val="21"/>
                <c:pt idx="0">
                  <c:v>7</c:v>
                </c:pt>
                <c:pt idx="1">
                  <c:v>6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4</c:v>
                </c:pt>
                <c:pt idx="7">
                  <c:v>4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3</c:v>
                </c:pt>
                <c:pt idx="13">
                  <c:v>3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FC-4291-B65B-3055A62CF3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79067288"/>
        <c:axId val="879068464"/>
      </c:barChart>
      <c:lineChart>
        <c:grouping val="standard"/>
        <c:varyColors val="0"/>
        <c:ser>
          <c:idx val="1"/>
          <c:order val="1"/>
          <c:tx>
            <c:strRef>
              <c:f>'Resume WIP'!$F$47</c:f>
              <c:strCache>
                <c:ptCount val="1"/>
                <c:pt idx="0">
                  <c:v>CUMULATIVE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'Resume WIP'!$B$48:$B$68</c:f>
              <c:strCache>
                <c:ptCount val="21"/>
                <c:pt idx="0">
                  <c:v>LAYOUT GESER/MISREGISTER</c:v>
                </c:pt>
                <c:pt idx="1">
                  <c:v>SCRATCH</c:v>
                </c:pt>
                <c:pt idx="2">
                  <c:v>CAP RENGGANG</c:v>
                </c:pt>
                <c:pt idx="3">
                  <c:v>HEADER MELIPAT</c:v>
                </c:pt>
                <c:pt idx="4">
                  <c:v>OVERLAP KASAR / BLOBOR</c:v>
                </c:pt>
                <c:pt idx="5">
                  <c:v>PEEL OFF AREA BANNER</c:v>
                </c:pt>
                <c:pt idx="6">
                  <c:v>WARNA &gt; UPPER</c:v>
                </c:pt>
                <c:pt idx="7">
                  <c:v>OVERLAP RENGGANG</c:v>
                </c:pt>
                <c:pt idx="8">
                  <c:v>KOTOR BAGIAN DALAM (EMBALASE)</c:v>
                </c:pt>
                <c:pt idx="9">
                  <c:v>KOTOR BAGIAN LUAR (OLI)</c:v>
                </c:pt>
                <c:pt idx="10">
                  <c:v>TUBE GELEMBUNG BAGIAN ATAS</c:v>
                </c:pt>
                <c:pt idx="11">
                  <c:v>TUBE PENYOK</c:v>
                </c:pt>
                <c:pt idx="12">
                  <c:v>VARNISH BERLUBANG/BERCAK</c:v>
                </c:pt>
                <c:pt idx="13">
                  <c:v>VARNISH BELANG</c:v>
                </c:pt>
                <c:pt idx="14">
                  <c:v>CAP KENDOR</c:v>
                </c:pt>
                <c:pt idx="15">
                  <c:v>CAP DOL</c:v>
                </c:pt>
                <c:pt idx="16">
                  <c:v>HEADER GESER</c:v>
                </c:pt>
                <c:pt idx="17">
                  <c:v>KOTOR PRINT</c:v>
                </c:pt>
                <c:pt idx="18">
                  <c:v>VARNISH KASAR</c:v>
                </c:pt>
                <c:pt idx="19">
                  <c:v>WARNA &lt; LOWER</c:v>
                </c:pt>
                <c:pt idx="20">
                  <c:v>KETIDAKSESUAIAN KONDISI PACKING</c:v>
                </c:pt>
              </c:strCache>
            </c:strRef>
          </c:cat>
          <c:val>
            <c:numRef>
              <c:f>'Resume WIP'!$F$48:$F$68</c:f>
              <c:numCache>
                <c:formatCode>0.00</c:formatCode>
                <c:ptCount val="21"/>
                <c:pt idx="0">
                  <c:v>9.7222222222222232</c:v>
                </c:pt>
                <c:pt idx="1">
                  <c:v>18.055555555555557</c:v>
                </c:pt>
                <c:pt idx="2">
                  <c:v>25</c:v>
                </c:pt>
                <c:pt idx="3">
                  <c:v>31.944444444444443</c:v>
                </c:pt>
                <c:pt idx="4">
                  <c:v>38.888888888888886</c:v>
                </c:pt>
                <c:pt idx="5">
                  <c:v>45.833333333333329</c:v>
                </c:pt>
                <c:pt idx="6">
                  <c:v>51.388888888888886</c:v>
                </c:pt>
                <c:pt idx="7">
                  <c:v>56.944444444444443</c:v>
                </c:pt>
                <c:pt idx="8">
                  <c:v>61.111111111111107</c:v>
                </c:pt>
                <c:pt idx="9">
                  <c:v>65.277777777777771</c:v>
                </c:pt>
                <c:pt idx="10">
                  <c:v>69.444444444444443</c:v>
                </c:pt>
                <c:pt idx="11">
                  <c:v>73.611111111111114</c:v>
                </c:pt>
                <c:pt idx="12">
                  <c:v>77.777777777777786</c:v>
                </c:pt>
                <c:pt idx="13">
                  <c:v>81.944444444444457</c:v>
                </c:pt>
                <c:pt idx="14">
                  <c:v>84.722222222222229</c:v>
                </c:pt>
                <c:pt idx="15">
                  <c:v>87.5</c:v>
                </c:pt>
                <c:pt idx="16">
                  <c:v>90.277777777777771</c:v>
                </c:pt>
                <c:pt idx="17">
                  <c:v>93.055555555555543</c:v>
                </c:pt>
                <c:pt idx="18">
                  <c:v>95.833333333333314</c:v>
                </c:pt>
                <c:pt idx="19">
                  <c:v>98.611111111111086</c:v>
                </c:pt>
                <c:pt idx="20">
                  <c:v>99.999999999999972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2FC-4291-B65B-3055A62CF3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79056704"/>
        <c:axId val="879056312"/>
      </c:lineChart>
      <c:catAx>
        <c:axId val="879067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9068464"/>
        <c:crosses val="autoZero"/>
        <c:auto val="1"/>
        <c:lblAlgn val="ctr"/>
        <c:lblOffset val="100"/>
        <c:noMultiLvlLbl val="0"/>
      </c:catAx>
      <c:valAx>
        <c:axId val="879068464"/>
        <c:scaling>
          <c:orientation val="minMax"/>
          <c:max val="3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Quantity (pcs)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9067288"/>
        <c:crosses val="autoZero"/>
        <c:crossBetween val="between"/>
        <c:majorUnit val="10"/>
      </c:valAx>
      <c:valAx>
        <c:axId val="879056312"/>
        <c:scaling>
          <c:orientation val="minMax"/>
          <c:max val="100"/>
          <c:min val="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Persentase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9056704"/>
        <c:crosses val="max"/>
        <c:crossBetween val="between"/>
        <c:majorUnit val="25"/>
        <c:minorUnit val="2"/>
      </c:valAx>
      <c:catAx>
        <c:axId val="87905670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87905631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 EXTRUSION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'Resume WIP'!$E$4</c:f>
              <c:strCache>
                <c:ptCount val="1"/>
                <c:pt idx="0">
                  <c:v>CO EXTRUSION</c:v>
                </c:pt>
              </c:strCache>
            </c:strRef>
          </c:tx>
          <c:dPt>
            <c:idx val="0"/>
            <c:bubble3D val="0"/>
            <c:spPr>
              <a:solidFill>
                <a:schemeClr val="dk1">
                  <a:tint val="885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1-CC0C-4B75-B01E-E22DA39B7CD7}"/>
              </c:ext>
            </c:extLst>
          </c:dPt>
          <c:dPt>
            <c:idx val="1"/>
            <c:bubble3D val="0"/>
            <c:spPr>
              <a:solidFill>
                <a:schemeClr val="dk1">
                  <a:tint val="55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3-CC0C-4B75-B01E-E22DA39B7CD7}"/>
              </c:ext>
            </c:extLst>
          </c:dPt>
          <c:dLbls>
            <c:dLbl>
              <c:idx val="0"/>
              <c:layout>
                <c:manualLayout>
                  <c:x val="1.9922365522071862E-2"/>
                  <c:y val="7.4648622127517411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5159595723529754"/>
                      <c:h val="0.23439133880482346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CC0C-4B75-B01E-E22DA39B7CD7}"/>
                </c:ext>
              </c:extLst>
            </c:dLbl>
            <c:dLbl>
              <c:idx val="1"/>
              <c:layout>
                <c:manualLayout>
                  <c:x val="-5.4786505185697658E-2"/>
                  <c:y val="0.14796901842039506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7140183646561544"/>
                      <c:h val="0.349478095277548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CC0C-4B75-B01E-E22DA39B7CD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spc="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'Resume WIP'!$D$5:$D$6</c:f>
              <c:strCache>
                <c:ptCount val="2"/>
                <c:pt idx="0">
                  <c:v>BREYER 1</c:v>
                </c:pt>
                <c:pt idx="1">
                  <c:v>BREYER 2</c:v>
                </c:pt>
              </c:strCache>
            </c:strRef>
          </c:cat>
          <c:val>
            <c:numRef>
              <c:f>'Resume WIP'!$E$5:$E$6</c:f>
              <c:numCache>
                <c:formatCode>General</c:formatCode>
                <c:ptCount val="2"/>
                <c:pt idx="0">
                  <c:v>6</c:v>
                </c:pt>
                <c:pt idx="1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C0C-4B75-B01E-E22DA39B7CD7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0"/>
        </c:dLbls>
      </c:pie3DChart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'Resume WIP'!$E$23</c:f>
              <c:strCache>
                <c:ptCount val="1"/>
                <c:pt idx="0">
                  <c:v>CO DECORATION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1-7A32-41A2-908C-B375D187721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3-7A32-41A2-908C-B375D187721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5-7A32-41A2-908C-B375D187721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7-7A32-41A2-908C-B375D187721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9-7A32-41A2-908C-B375D1877216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B-7A32-41A2-908C-B375D1877216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D-7A32-41A2-908C-B375D1877216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F-7A32-41A2-908C-B375D1877216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0-85B9-422A-A658-48AAA7205E7C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2-25C7-4A2A-9B71-5EA2270004D2}"/>
              </c:ext>
            </c:extLst>
          </c:dPt>
          <c:dLbls>
            <c:dLbl>
              <c:idx val="0"/>
              <c:layout>
                <c:manualLayout>
                  <c:x val="-4.3493388685860425E-2"/>
                  <c:y val="7.7236352208434875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6516494813954589"/>
                      <c:h val="0.27476752100916457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7A32-41A2-908C-B375D1877216}"/>
                </c:ext>
              </c:extLst>
            </c:dLbl>
            <c:dLbl>
              <c:idx val="1"/>
              <c:layout>
                <c:manualLayout>
                  <c:x val="3.3558363074887329E-3"/>
                  <c:y val="-1.6675225263165522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5993851043839022"/>
                      <c:h val="0.28051864189111475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7A32-41A2-908C-B375D1877216}"/>
                </c:ext>
              </c:extLst>
            </c:dLbl>
            <c:dLbl>
              <c:idx val="2"/>
              <c:layout>
                <c:manualLayout>
                  <c:x val="3.6093429120178616E-3"/>
                  <c:y val="-3.1377444973658644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A32-41A2-908C-B375D1877216}"/>
                </c:ext>
              </c:extLst>
            </c:dLbl>
            <c:dLbl>
              <c:idx val="3"/>
              <c:layout>
                <c:manualLayout>
                  <c:x val="-1.2756327291804858E-3"/>
                  <c:y val="-9.5686467364578254E-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675989154798841"/>
                      <c:h val="0.23315190525364993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7A32-41A2-908C-B375D1877216}"/>
                </c:ext>
              </c:extLst>
            </c:dLbl>
            <c:dLbl>
              <c:idx val="4"/>
              <c:layout>
                <c:manualLayout>
                  <c:x val="-7.3044858732592019E-2"/>
                  <c:y val="4.2839624581013577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5110035762768945"/>
                      <c:h val="0.13087497837709086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9-7A32-41A2-908C-B375D1877216}"/>
                </c:ext>
              </c:extLst>
            </c:dLbl>
            <c:dLbl>
              <c:idx val="5"/>
              <c:layout>
                <c:manualLayout>
                  <c:x val="1.1988986672714778E-3"/>
                  <c:y val="-4.1162773637349172E-4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748720553476372"/>
                      <c:h val="0.24601255441954151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B-7A32-41A2-908C-B375D1877216}"/>
                </c:ext>
              </c:extLst>
            </c:dLbl>
            <c:dLbl>
              <c:idx val="6"/>
              <c:layout>
                <c:manualLayout>
                  <c:x val="-5.1960327921592563E-3"/>
                  <c:y val="5.8148417837020773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8276725335254415"/>
                      <c:h val="0.2747678609401154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D-7A32-41A2-908C-B375D1877216}"/>
                </c:ext>
              </c:extLst>
            </c:dLbl>
            <c:dLbl>
              <c:idx val="7"/>
              <c:layout>
                <c:manualLayout>
                  <c:x val="1.3033706715594577E-2"/>
                  <c:y val="-2.7143430303590146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7A32-41A2-908C-B375D1877216}"/>
                </c:ext>
              </c:extLst>
            </c:dLbl>
            <c:dLbl>
              <c:idx val="8"/>
              <c:layout>
                <c:manualLayout>
                  <c:x val="4.9812078904244897E-2"/>
                  <c:y val="-7.9741213400679078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85B9-422A-A658-48AAA7205E7C}"/>
                </c:ext>
              </c:extLst>
            </c:dLbl>
            <c:dLbl>
              <c:idx val="9"/>
              <c:layout>
                <c:manualLayout>
                  <c:x val="6.9219386342424083E-2"/>
                  <c:y val="-1.3859492298621658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25C7-4A2A-9B71-5EA2270004D2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'Resume WIP'!$D$24:$D$33</c:f>
              <c:strCache>
                <c:ptCount val="10"/>
                <c:pt idx="0">
                  <c:v>SENBAR 1</c:v>
                </c:pt>
                <c:pt idx="1">
                  <c:v>SENBAR 2</c:v>
                </c:pt>
                <c:pt idx="2">
                  <c:v>POLYTYPE</c:v>
                </c:pt>
                <c:pt idx="3">
                  <c:v>WUTUNG 2</c:v>
                </c:pt>
                <c:pt idx="4">
                  <c:v>WUTUNG 3</c:v>
                </c:pt>
                <c:pt idx="5">
                  <c:v>ISIMAT</c:v>
                </c:pt>
                <c:pt idx="6">
                  <c:v>MADAG 2</c:v>
                </c:pt>
                <c:pt idx="7">
                  <c:v>MADAG 3</c:v>
                </c:pt>
                <c:pt idx="8">
                  <c:v>SIDEN OFFSET</c:v>
                </c:pt>
                <c:pt idx="9">
                  <c:v>SIDEN LABEL</c:v>
                </c:pt>
              </c:strCache>
            </c:strRef>
          </c:cat>
          <c:val>
            <c:numRef>
              <c:f>'Resume WIP'!$E$24:$E$33</c:f>
              <c:numCache>
                <c:formatCode>General</c:formatCode>
                <c:ptCount val="10"/>
                <c:pt idx="0">
                  <c:v>4</c:v>
                </c:pt>
                <c:pt idx="1">
                  <c:v>6</c:v>
                </c:pt>
                <c:pt idx="2">
                  <c:v>1</c:v>
                </c:pt>
                <c:pt idx="3">
                  <c:v>3</c:v>
                </c:pt>
                <c:pt idx="4">
                  <c:v>3</c:v>
                </c:pt>
                <c:pt idx="5">
                  <c:v>4</c:v>
                </c:pt>
                <c:pt idx="6">
                  <c:v>1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7A32-41A2-908C-B375D1877216}"/>
            </c:ext>
          </c:extLst>
        </c:ser>
        <c:dLbls>
          <c:showLegendKey val="0"/>
          <c:showVal val="1"/>
          <c:showCatName val="1"/>
          <c:showSerName val="0"/>
          <c:showPercent val="0"/>
          <c:showBubbleSize val="0"/>
          <c:showLeaderLines val="0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'Resume WIP'!$E$36</c:f>
              <c:strCache>
                <c:ptCount val="1"/>
                <c:pt idx="0">
                  <c:v>CO SET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1-4AA7-4757-A30D-68124AE840C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3-4AA7-4757-A30D-68124AE840C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5-4AA7-4757-A30D-68124AE840C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7-4AA7-4757-A30D-68124AE840C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9-4AA7-4757-A30D-68124AE840C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A-601A-412C-8881-DF14AC74C132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C-BA74-4B96-A2AF-3009376E73C3}"/>
              </c:ext>
            </c:extLst>
          </c:dPt>
          <c:dLbls>
            <c:dLbl>
              <c:idx val="0"/>
              <c:layout>
                <c:manualLayout>
                  <c:x val="2.0951936660057818E-2"/>
                  <c:y val="1.2191356912712767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AA7-4757-A30D-68124AE840CA}"/>
                </c:ext>
              </c:extLst>
            </c:dLbl>
            <c:dLbl>
              <c:idx val="1"/>
              <c:layout>
                <c:manualLayout>
                  <c:x val="-8.7441228077778915E-3"/>
                  <c:y val="6.0301576621746643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AA7-4757-A30D-68124AE840CA}"/>
                </c:ext>
              </c:extLst>
            </c:dLbl>
            <c:dLbl>
              <c:idx val="2"/>
              <c:layout>
                <c:manualLayout>
                  <c:x val="2.358925716748125E-2"/>
                  <c:y val="5.3228370781065015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2372195286404886"/>
                      <c:h val="0.1748480971776237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4AA7-4757-A30D-68124AE840CA}"/>
                </c:ext>
              </c:extLst>
            </c:dLbl>
            <c:dLbl>
              <c:idx val="3"/>
              <c:layout>
                <c:manualLayout>
                  <c:x val="2.4092316369804113E-2"/>
                  <c:y val="5.9185180273142991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4AA7-4757-A30D-68124AE840CA}"/>
                </c:ext>
              </c:extLst>
            </c:dLbl>
            <c:dLbl>
              <c:idx val="4"/>
              <c:layout>
                <c:manualLayout>
                  <c:x val="-1.666918545413363E-2"/>
                  <c:y val="-5.6603920877118545E-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5004895697823502"/>
                      <c:h val="0.22744430300926305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9-4AA7-4757-A30D-68124AE840CA}"/>
                </c:ext>
              </c:extLst>
            </c:dLbl>
            <c:dLbl>
              <c:idx val="5"/>
              <c:layout>
                <c:manualLayout>
                  <c:x val="1.547851520175935E-7"/>
                  <c:y val="-0.12786801858045815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8441926468384821"/>
                      <c:h val="0.20606913651331754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A-601A-412C-8881-DF14AC74C132}"/>
                </c:ext>
              </c:extLst>
            </c:dLbl>
            <c:dLbl>
              <c:idx val="6"/>
              <c:layout>
                <c:manualLayout>
                  <c:x val="0.18085097161735625"/>
                  <c:y val="1.6754840817488403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0567745746194452"/>
                      <c:h val="0.1386498761087137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C-BA74-4B96-A2AF-3009376E73C3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'Resume WIP'!$D$37:$D$43</c:f>
              <c:strCache>
                <c:ptCount val="7"/>
                <c:pt idx="0">
                  <c:v>GCM 1</c:v>
                </c:pt>
                <c:pt idx="1">
                  <c:v>GCM 2</c:v>
                </c:pt>
                <c:pt idx="2">
                  <c:v>MANUAL</c:v>
                </c:pt>
                <c:pt idx="3">
                  <c:v>GCM 3</c:v>
                </c:pt>
                <c:pt idx="4">
                  <c:v>GCM 4</c:v>
                </c:pt>
                <c:pt idx="5">
                  <c:v>SIDEN CAPPING</c:v>
                </c:pt>
                <c:pt idx="6">
                  <c:v>TECHNOSELL 2</c:v>
                </c:pt>
              </c:strCache>
            </c:strRef>
          </c:cat>
          <c:val>
            <c:numRef>
              <c:f>'Resume WIP'!$E$37:$E$43</c:f>
              <c:numCache>
                <c:formatCode>General</c:formatCode>
                <c:ptCount val="7"/>
                <c:pt idx="0">
                  <c:v>2</c:v>
                </c:pt>
                <c:pt idx="1">
                  <c:v>3</c:v>
                </c:pt>
                <c:pt idx="2">
                  <c:v>1</c:v>
                </c:pt>
                <c:pt idx="5">
                  <c:v>2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4AA7-4757-A30D-68124AE840CA}"/>
            </c:ext>
          </c:extLst>
        </c:ser>
        <c:dLbls>
          <c:showLegendKey val="0"/>
          <c:showVal val="1"/>
          <c:showCatName val="1"/>
          <c:showSerName val="0"/>
          <c:showPercent val="0"/>
          <c:showBubbleSize val="0"/>
          <c:showLeaderLines val="0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CHANGE OVER WIP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'Resume WIP'!$M$3</c:f>
              <c:strCache>
                <c:ptCount val="1"/>
                <c:pt idx="0">
                  <c:v>CHANGE OVER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'Resume WIP'!$L$4:$L$7</c:f>
              <c:strCache>
                <c:ptCount val="4"/>
                <c:pt idx="0">
                  <c:v>HEADING</c:v>
                </c:pt>
                <c:pt idx="1">
                  <c:v>DECORATION</c:v>
                </c:pt>
                <c:pt idx="2">
                  <c:v>EXTRUSION</c:v>
                </c:pt>
                <c:pt idx="3">
                  <c:v>SET</c:v>
                </c:pt>
              </c:strCache>
            </c:strRef>
          </c:cat>
          <c:val>
            <c:numRef>
              <c:f>'Resume WIP'!$M$4:$M$7</c:f>
              <c:numCache>
                <c:formatCode>General</c:formatCode>
                <c:ptCount val="4"/>
                <c:pt idx="0">
                  <c:v>26</c:v>
                </c:pt>
                <c:pt idx="1">
                  <c:v>23</c:v>
                </c:pt>
                <c:pt idx="2">
                  <c:v>11</c:v>
                </c:pt>
                <c:pt idx="3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70-4DCC-B83E-D888FB5A8B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79070816"/>
        <c:axId val="879071208"/>
      </c:barChart>
      <c:catAx>
        <c:axId val="8790708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SECTION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9071208"/>
        <c:crosses val="autoZero"/>
        <c:auto val="1"/>
        <c:lblAlgn val="ctr"/>
        <c:lblOffset val="100"/>
        <c:noMultiLvlLbl val="0"/>
      </c:catAx>
      <c:valAx>
        <c:axId val="879071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ITEM</a:t>
                </a:r>
                <a:r>
                  <a:rPr lang="en-US" baseline="0"/>
                  <a:t> RUNNING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90708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'Resume WIP'!$E$12</c:f>
              <c:strCache>
                <c:ptCount val="1"/>
                <c:pt idx="0">
                  <c:v>CO HEADING</c:v>
                </c:pt>
              </c:strCache>
            </c:strRef>
          </c:tx>
          <c:dPt>
            <c:idx val="0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1-CC07-4218-8786-874EF8FAE856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3-CC07-4218-8786-874EF8FAE856}"/>
              </c:ext>
            </c:extLst>
          </c:dPt>
          <c:dPt>
            <c:idx val="2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7-CC07-4218-8786-874EF8FAE856}"/>
              </c:ext>
            </c:extLst>
          </c:dPt>
          <c:dPt>
            <c:idx val="3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5-CC07-4218-8786-874EF8FAE856}"/>
              </c:ext>
            </c:extLst>
          </c:dPt>
          <c:dPt>
            <c:idx val="4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8-CC07-4218-8786-874EF8FAE856}"/>
              </c:ext>
            </c:extLst>
          </c:dPt>
          <c:dPt>
            <c:idx val="5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9-CC07-4218-8786-874EF8FAE856}"/>
              </c:ext>
            </c:extLst>
          </c:dPt>
          <c:dPt>
            <c:idx val="6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6-CC07-4218-8786-874EF8FAE856}"/>
              </c:ext>
            </c:extLst>
          </c:dPt>
          <c:dLbls>
            <c:dLbl>
              <c:idx val="0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00" b="1" i="0" u="none" strike="noStrike" kern="1200" spc="0" baseline="0">
                        <a:solidFill>
                          <a:srgbClr val="F6882E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827C7F9C-CC83-406E-A4AF-0A35343B8133}" type="CATEGORYNAME">
                      <a:rPr lang="en-US">
                        <a:solidFill>
                          <a:srgbClr val="F6882E"/>
                        </a:solidFill>
                      </a:rPr>
                      <a:pPr>
                        <a:defRPr>
                          <a:solidFill>
                            <a:srgbClr val="F6882E"/>
                          </a:solidFill>
                        </a:defRPr>
                      </a:pPr>
                      <a:t>[CATEGORY NAME]</a:t>
                    </a:fld>
                    <a:r>
                      <a:rPr lang="en-US" baseline="0">
                        <a:solidFill>
                          <a:srgbClr val="F6882E"/>
                        </a:solidFill>
                      </a:rPr>
                      <a:t>; </a:t>
                    </a:r>
                    <a:fld id="{04056AB0-CEA6-4895-BDE5-1C07DFDAB068}" type="VALUE">
                      <a:rPr lang="en-US" baseline="0">
                        <a:solidFill>
                          <a:srgbClr val="F6882E"/>
                        </a:solidFill>
                      </a:rPr>
                      <a:pPr>
                        <a:defRPr>
                          <a:solidFill>
                            <a:srgbClr val="F6882E"/>
                          </a:solidFill>
                        </a:defRPr>
                      </a:pPr>
                      <a:t>[VALUE]</a:t>
                    </a:fld>
                    <a:endParaRPr lang="en-US" baseline="0">
                      <a:solidFill>
                        <a:srgbClr val="F6882E"/>
                      </a:solidFill>
                    </a:endParaRP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rgbClr val="F6882E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5159595723529754"/>
                      <c:h val="0.23439133880482346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CC07-4218-8786-874EF8FAE856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tint val="77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6642133271011853"/>
                      <c:h val="0.23439133880482346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CC07-4218-8786-874EF8FAE856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871933020328224"/>
                      <c:h val="0.2098964708436088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CC07-4218-8786-874EF8FAE856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5816377030972926"/>
                      <c:h val="0.2098964708436088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CC07-4218-8786-874EF8FAE856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8-CC07-4218-8786-874EF8FAE856}"/>
                </c:ext>
              </c:extLst>
            </c:dLbl>
            <c:dLbl>
              <c:idx val="5"/>
              <c:layout>
                <c:manualLayout>
                  <c:x val="-9.4444401064470319E-3"/>
                  <c:y val="2.2972981121153833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6090265794059891"/>
                      <c:h val="0.2098964708436088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9-CC07-4218-8786-874EF8FAE856}"/>
                </c:ext>
              </c:extLst>
            </c:dLbl>
            <c:dLbl>
              <c:idx val="6"/>
              <c:layout>
                <c:manualLayout>
                  <c:x val="9.4444401064470204E-2"/>
                  <c:y val="0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0812485847283405"/>
                      <c:h val="0.2098964708436088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6-CC07-4218-8786-874EF8FAE856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'Resume WIP'!$D$13:$D$19</c:f>
              <c:strCache>
                <c:ptCount val="7"/>
                <c:pt idx="0">
                  <c:v>AISA 61</c:v>
                </c:pt>
                <c:pt idx="1">
                  <c:v>AISA 62</c:v>
                </c:pt>
                <c:pt idx="2">
                  <c:v>AISA 63</c:v>
                </c:pt>
                <c:pt idx="3">
                  <c:v>AISA 64</c:v>
                </c:pt>
                <c:pt idx="4">
                  <c:v>AISA 80</c:v>
                </c:pt>
                <c:pt idx="5">
                  <c:v>SIDEN 1</c:v>
                </c:pt>
                <c:pt idx="6">
                  <c:v>SIDEN 2</c:v>
                </c:pt>
              </c:strCache>
            </c:strRef>
          </c:cat>
          <c:val>
            <c:numRef>
              <c:f>'Resume WIP'!$E$13:$E$19</c:f>
              <c:numCache>
                <c:formatCode>General</c:formatCode>
                <c:ptCount val="7"/>
                <c:pt idx="0">
                  <c:v>5</c:v>
                </c:pt>
                <c:pt idx="1">
                  <c:v>5</c:v>
                </c:pt>
                <c:pt idx="2">
                  <c:v>4</c:v>
                </c:pt>
                <c:pt idx="3">
                  <c:v>2</c:v>
                </c:pt>
                <c:pt idx="5">
                  <c:v>6</c:v>
                </c:pt>
                <c:pt idx="6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C07-4218-8786-874EF8FAE856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0"/>
        </c:dLbls>
      </c:pie3DChart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Defect criteria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'Resume FG'!$E$86</c:f>
              <c:strCache>
                <c:ptCount val="1"/>
                <c:pt idx="0">
                  <c:v>%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1-F5E6-495F-80C4-5DF9729EC52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3-F5E6-495F-80C4-5DF9729EC52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5-F5E6-495F-80C4-5DF9729EC52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7-F5E6-495F-80C4-5DF9729EC52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8-0661-41F8-B918-F656D90F4F26}"/>
              </c:ext>
            </c:extLst>
          </c:dPt>
          <c:dLbls>
            <c:dLbl>
              <c:idx val="0"/>
              <c:layout>
                <c:manualLayout>
                  <c:x val="-1.8358721643391366E-2"/>
                  <c:y val="2.6050010145670467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682340646328451"/>
                      <c:h val="0.118273881602104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F5E6-495F-80C4-5DF9729EC52D}"/>
                </c:ext>
              </c:extLst>
            </c:dLbl>
            <c:dLbl>
              <c:idx val="1"/>
              <c:layout>
                <c:manualLayout>
                  <c:x val="-4.9569704713854489E-2"/>
                  <c:y val="1.7259281306103366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5E6-495F-80C4-5DF9729EC52D}"/>
                </c:ext>
              </c:extLst>
            </c:dLbl>
            <c:dLbl>
              <c:idx val="2"/>
              <c:layout>
                <c:manualLayout>
                  <c:x val="3.4006873916289419E-2"/>
                  <c:y val="2.0549655047204029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5E6-495F-80C4-5DF9729EC52D}"/>
                </c:ext>
              </c:extLst>
            </c:dLbl>
            <c:dLbl>
              <c:idx val="3"/>
              <c:layout>
                <c:manualLayout>
                  <c:x val="-3.4204345309103386E-2"/>
                  <c:y val="0.1770347611258194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7218427244992904"/>
                      <c:h val="0.12613564182401296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F5E6-495F-80C4-5DF9729EC52D}"/>
                </c:ext>
              </c:extLst>
            </c:dLbl>
            <c:dLbl>
              <c:idx val="4"/>
              <c:layout>
                <c:manualLayout>
                  <c:x val="3.1192657395815908E-3"/>
                  <c:y val="-4.1447477922781542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0661-41F8-B918-F656D90F4F26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'Resume FG'!$B$87:$B$91</c:f>
              <c:strCache>
                <c:ptCount val="5"/>
                <c:pt idx="0">
                  <c:v>INTOLERANCE</c:v>
                </c:pt>
                <c:pt idx="1">
                  <c:v>RED</c:v>
                </c:pt>
                <c:pt idx="2">
                  <c:v>CRITICAL</c:v>
                </c:pt>
                <c:pt idx="3">
                  <c:v>MAJOR</c:v>
                </c:pt>
                <c:pt idx="4">
                  <c:v>MINOR</c:v>
                </c:pt>
              </c:strCache>
            </c:strRef>
          </c:cat>
          <c:val>
            <c:numRef>
              <c:f>'Resume FG'!$E$87:$E$91</c:f>
              <c:numCache>
                <c:formatCode>0%</c:formatCode>
                <c:ptCount val="5"/>
                <c:pt idx="2">
                  <c:v>9.0909090909090912E-2</c:v>
                </c:pt>
                <c:pt idx="3" formatCode="0.0%">
                  <c:v>0.45454545454545453</c:v>
                </c:pt>
                <c:pt idx="4" formatCode="0.0%">
                  <c:v>0.45454545454545453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5E6-495F-80C4-5DF9729EC52D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0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Change over FG per mesin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'Resume FG'!$C$10</c:f>
              <c:strCache>
                <c:ptCount val="1"/>
                <c:pt idx="0">
                  <c:v>Change over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1-C691-4CB4-8A0F-E329E256991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3-C691-4CB4-8A0F-E329E256991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5-C691-4CB4-8A0F-E329E256991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7-C691-4CB4-8A0F-E329E256991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9-C691-4CB4-8A0F-E329E256991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B-C691-4CB4-8A0F-E329E2569914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D-C691-4CB4-8A0F-E329E2569914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F-C691-4CB4-8A0F-E329E2569914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1-C691-4CB4-8A0F-E329E2569914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3-C691-4CB4-8A0F-E329E2569914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5-C691-4CB4-8A0F-E329E2569914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6-EA71-47F2-A62F-7BF84C6D846B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8-B25A-4677-B6C5-8168B727F150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C691-4CB4-8A0F-E329E2569914}"/>
                </c:ext>
              </c:extLst>
            </c:dLbl>
            <c:dLbl>
              <c:idx val="1"/>
              <c:layout>
                <c:manualLayout>
                  <c:x val="9.3263525776039451E-3"/>
                  <c:y val="-1.1616308961741789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691-4CB4-8A0F-E329E2569914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C691-4CB4-8A0F-E329E2569914}"/>
                </c:ext>
              </c:extLst>
            </c:dLbl>
            <c:dLbl>
              <c:idx val="3"/>
              <c:layout>
                <c:manualLayout>
                  <c:x val="9.3065669628011397E-3"/>
                  <c:y val="-0.10345974056655409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C691-4CB4-8A0F-E329E2569914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9-C691-4CB4-8A0F-E329E2569914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B-C691-4CB4-8A0F-E329E2569914}"/>
                </c:ext>
              </c:extLst>
            </c:dLbl>
            <c:dLbl>
              <c:idx val="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D-C691-4CB4-8A0F-E329E2569914}"/>
                </c:ext>
              </c:extLst>
            </c:dLbl>
            <c:dLbl>
              <c:idx val="7"/>
              <c:layout>
                <c:manualLayout>
                  <c:x val="-1.3064954414676295E-2"/>
                  <c:y val="-6.2789675817660359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C691-4CB4-8A0F-E329E2569914}"/>
                </c:ext>
              </c:extLst>
            </c:dLbl>
            <c:dLbl>
              <c:idx val="8"/>
              <c:layout>
                <c:manualLayout>
                  <c:x val="-9.2549778042041939E-3"/>
                  <c:y val="-0.1019821806889747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C691-4CB4-8A0F-E329E2569914}"/>
                </c:ext>
              </c:extLst>
            </c:dLbl>
            <c:dLbl>
              <c:idx val="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3-C691-4CB4-8A0F-E329E2569914}"/>
                </c:ext>
              </c:extLst>
            </c:dLbl>
            <c:dLbl>
              <c:idx val="10"/>
              <c:layout>
                <c:manualLayout>
                  <c:x val="6.7150250300648653E-2"/>
                  <c:y val="-2.5601948167142435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691-4CB4-8A0F-E329E2569914}"/>
                </c:ext>
              </c:extLst>
            </c:dLbl>
            <c:dLbl>
              <c:idx val="11"/>
              <c:layout>
                <c:manualLayout>
                  <c:x val="5.8294283613451224E-3"/>
                  <c:y val="-4.1763214665214562E-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EA71-47F2-A62F-7BF84C6D846B}"/>
                </c:ext>
              </c:extLst>
            </c:dLbl>
            <c:dLbl>
              <c:idx val="12"/>
              <c:layout>
                <c:manualLayout>
                  <c:x val="5.5839401776806831E-2"/>
                  <c:y val="-9.6993506781144455E-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B25A-4677-B6C5-8168B727F150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'Resume FG'!$B$11:$B$23</c:f>
              <c:strCache>
                <c:ptCount val="13"/>
                <c:pt idx="0">
                  <c:v>GCM 1</c:v>
                </c:pt>
                <c:pt idx="1">
                  <c:v>GCM 2</c:v>
                </c:pt>
                <c:pt idx="2">
                  <c:v>GCM 3</c:v>
                </c:pt>
                <c:pt idx="3">
                  <c:v>GCM 4</c:v>
                </c:pt>
                <c:pt idx="4">
                  <c:v>TECHNOSHELL 1</c:v>
                </c:pt>
                <c:pt idx="5">
                  <c:v>TECHNOSHELL 2</c:v>
                </c:pt>
                <c:pt idx="6">
                  <c:v>MANUAL CAPPING</c:v>
                </c:pt>
                <c:pt idx="7">
                  <c:v>MADAG 2</c:v>
                </c:pt>
                <c:pt idx="8">
                  <c:v>MADAG 3</c:v>
                </c:pt>
                <c:pt idx="9">
                  <c:v>POLYTYPE</c:v>
                </c:pt>
                <c:pt idx="10">
                  <c:v>SEALING</c:v>
                </c:pt>
                <c:pt idx="11">
                  <c:v>SIDEN LABEL</c:v>
                </c:pt>
                <c:pt idx="12">
                  <c:v>SIDEN CAPPING</c:v>
                </c:pt>
              </c:strCache>
            </c:strRef>
          </c:cat>
          <c:val>
            <c:numRef>
              <c:f>'Resume FG'!$C$11:$C$23</c:f>
              <c:numCache>
                <c:formatCode>General</c:formatCode>
                <c:ptCount val="13"/>
                <c:pt idx="0">
                  <c:v>3</c:v>
                </c:pt>
                <c:pt idx="1">
                  <c:v>1</c:v>
                </c:pt>
                <c:pt idx="2">
                  <c:v>3</c:v>
                </c:pt>
                <c:pt idx="3">
                  <c:v>4</c:v>
                </c:pt>
                <c:pt idx="5">
                  <c:v>5</c:v>
                </c:pt>
                <c:pt idx="6">
                  <c:v>7</c:v>
                </c:pt>
                <c:pt idx="7">
                  <c:v>1</c:v>
                </c:pt>
                <c:pt idx="8">
                  <c:v>2</c:v>
                </c:pt>
                <c:pt idx="9">
                  <c:v>3</c:v>
                </c:pt>
                <c:pt idx="11">
                  <c:v>2</c:v>
                </c:pt>
                <c:pt idx="1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C691-4CB4-8A0F-E329E2569914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0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'Resume FG'!$E$104</c:f>
              <c:strCache>
                <c:ptCount val="1"/>
                <c:pt idx="0">
                  <c:v>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'Resume FG'!$B$105:$B$116</c:f>
            </c:multiLvlStrRef>
          </c:cat>
          <c:val>
            <c:numRef>
              <c:f>'Resume FG'!$E$105:$E$116</c:f>
            </c:numRef>
          </c:val>
          <c:extLst>
            <c:ext xmlns:c16="http://schemas.microsoft.com/office/drawing/2014/chart" uri="{C3380CC4-5D6E-409C-BE32-E72D297353CC}">
              <c16:uniqueId val="{00000000-E8F7-4A48-97BC-A814BA9AF9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79009272"/>
        <c:axId val="879008488"/>
      </c:barChart>
      <c:catAx>
        <c:axId val="879009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9008488"/>
        <c:crosses val="autoZero"/>
        <c:auto val="1"/>
        <c:lblAlgn val="ctr"/>
        <c:lblOffset val="100"/>
        <c:noMultiLvlLbl val="0"/>
      </c:catAx>
      <c:valAx>
        <c:axId val="879008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90092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TEMUAN INSPECTOR W36</a:t>
            </a:r>
          </a:p>
        </c:rich>
      </c:tx>
      <c:layout>
        <c:manualLayout>
          <c:xMode val="edge"/>
          <c:yMode val="edge"/>
          <c:x val="0.38609236250584994"/>
          <c:y val="2.30818512129331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'Resume FG'!$C$34</c:f>
              <c:strCache>
                <c:ptCount val="1"/>
                <c:pt idx="0">
                  <c:v>QTY
(pcs)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'Resume FG'!$B$35:$B$56</c:f>
              <c:strCache>
                <c:ptCount val="22"/>
                <c:pt idx="0">
                  <c:v>CAP NOT POSITIONING</c:v>
                </c:pt>
                <c:pt idx="1">
                  <c:v>HEADER GESER</c:v>
                </c:pt>
                <c:pt idx="2">
                  <c:v>CAP MIRING</c:v>
                </c:pt>
                <c:pt idx="3">
                  <c:v>STAMPING GESER</c:v>
                </c:pt>
                <c:pt idx="4">
                  <c:v>CAP RENGGANG</c:v>
                </c:pt>
                <c:pt idx="5">
                  <c:v>KOTOR PRINT</c:v>
                </c:pt>
                <c:pt idx="6">
                  <c:v>CAP KENDOR</c:v>
                </c:pt>
                <c:pt idx="7">
                  <c:v>VARNISH BERLUBANG/BERCAK</c:v>
                </c:pt>
                <c:pt idx="8">
                  <c:v>BLOK BELANG</c:v>
                </c:pt>
                <c:pt idx="9">
                  <c:v>KOTOR BAGIAN DALAM (EMBALASE)</c:v>
                </c:pt>
                <c:pt idx="10">
                  <c:v>HEADER KONTAMINASI</c:v>
                </c:pt>
                <c:pt idx="11">
                  <c:v>KOTOR BAGIAN LUAR (OLI)</c:v>
                </c:pt>
                <c:pt idx="12">
                  <c:v>GRADASI BELANG</c:v>
                </c:pt>
                <c:pt idx="13">
                  <c:v>BORE FLASH</c:v>
                </c:pt>
                <c:pt idx="14">
                  <c:v>VARNISH MAMEL</c:v>
                </c:pt>
                <c:pt idx="15">
                  <c:v>CAP CACAT</c:v>
                </c:pt>
                <c:pt idx="16">
                  <c:v>VARNISH KASAR</c:v>
                </c:pt>
                <c:pt idx="17">
                  <c:v>SERABUT (PROSES CAPPING)</c:v>
                </c:pt>
                <c:pt idx="18">
                  <c:v>WHITE GAP &gt; STANDARD</c:v>
                </c:pt>
                <c:pt idx="19">
                  <c:v>TUBE PENYOK</c:v>
                </c:pt>
                <c:pt idx="20">
                  <c:v>CAP MEKAR</c:v>
                </c:pt>
                <c:pt idx="21">
                  <c:v>CAP SCRATCH</c:v>
                </c:pt>
              </c:strCache>
            </c:strRef>
          </c:cat>
          <c:val>
            <c:numRef>
              <c:f>'Resume FG'!$C$35:$C$56</c:f>
              <c:numCache>
                <c:formatCode>General</c:formatCode>
                <c:ptCount val="22"/>
                <c:pt idx="0">
                  <c:v>9</c:v>
                </c:pt>
                <c:pt idx="1">
                  <c:v>9</c:v>
                </c:pt>
                <c:pt idx="2">
                  <c:v>8</c:v>
                </c:pt>
                <c:pt idx="3">
                  <c:v>8</c:v>
                </c:pt>
                <c:pt idx="4">
                  <c:v>7</c:v>
                </c:pt>
                <c:pt idx="5">
                  <c:v>7</c:v>
                </c:pt>
                <c:pt idx="6">
                  <c:v>6</c:v>
                </c:pt>
                <c:pt idx="7">
                  <c:v>6</c:v>
                </c:pt>
                <c:pt idx="8">
                  <c:v>6</c:v>
                </c:pt>
                <c:pt idx="9">
                  <c:v>5</c:v>
                </c:pt>
                <c:pt idx="10">
                  <c:v>5</c:v>
                </c:pt>
                <c:pt idx="11">
                  <c:v>4</c:v>
                </c:pt>
                <c:pt idx="12">
                  <c:v>4</c:v>
                </c:pt>
                <c:pt idx="13">
                  <c:v>4</c:v>
                </c:pt>
                <c:pt idx="14">
                  <c:v>4</c:v>
                </c:pt>
                <c:pt idx="15">
                  <c:v>3</c:v>
                </c:pt>
                <c:pt idx="16">
                  <c:v>3</c:v>
                </c:pt>
                <c:pt idx="17">
                  <c:v>3</c:v>
                </c:pt>
                <c:pt idx="18">
                  <c:v>3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48-4D6A-8329-A43F71EFA4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79016328"/>
        <c:axId val="879016720"/>
      </c:barChart>
      <c:lineChart>
        <c:grouping val="standard"/>
        <c:varyColors val="0"/>
        <c:ser>
          <c:idx val="1"/>
          <c:order val="1"/>
          <c:tx>
            <c:strRef>
              <c:f>'Resume FG'!$F$34</c:f>
              <c:strCache>
                <c:ptCount val="1"/>
                <c:pt idx="0">
                  <c:v>CUMULATIVE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'Resume FG'!$B$35:$B$56</c:f>
              <c:strCache>
                <c:ptCount val="22"/>
                <c:pt idx="0">
                  <c:v>CAP NOT POSITIONING</c:v>
                </c:pt>
                <c:pt idx="1">
                  <c:v>HEADER GESER</c:v>
                </c:pt>
                <c:pt idx="2">
                  <c:v>CAP MIRING</c:v>
                </c:pt>
                <c:pt idx="3">
                  <c:v>STAMPING GESER</c:v>
                </c:pt>
                <c:pt idx="4">
                  <c:v>CAP RENGGANG</c:v>
                </c:pt>
                <c:pt idx="5">
                  <c:v>KOTOR PRINT</c:v>
                </c:pt>
                <c:pt idx="6">
                  <c:v>CAP KENDOR</c:v>
                </c:pt>
                <c:pt idx="7">
                  <c:v>VARNISH BERLUBANG/BERCAK</c:v>
                </c:pt>
                <c:pt idx="8">
                  <c:v>BLOK BELANG</c:v>
                </c:pt>
                <c:pt idx="9">
                  <c:v>KOTOR BAGIAN DALAM (EMBALASE)</c:v>
                </c:pt>
                <c:pt idx="10">
                  <c:v>HEADER KONTAMINASI</c:v>
                </c:pt>
                <c:pt idx="11">
                  <c:v>KOTOR BAGIAN LUAR (OLI)</c:v>
                </c:pt>
                <c:pt idx="12">
                  <c:v>GRADASI BELANG</c:v>
                </c:pt>
                <c:pt idx="13">
                  <c:v>BORE FLASH</c:v>
                </c:pt>
                <c:pt idx="14">
                  <c:v>VARNISH MAMEL</c:v>
                </c:pt>
                <c:pt idx="15">
                  <c:v>CAP CACAT</c:v>
                </c:pt>
                <c:pt idx="16">
                  <c:v>VARNISH KASAR</c:v>
                </c:pt>
                <c:pt idx="17">
                  <c:v>SERABUT (PROSES CAPPING)</c:v>
                </c:pt>
                <c:pt idx="18">
                  <c:v>WHITE GAP &gt; STANDARD</c:v>
                </c:pt>
                <c:pt idx="19">
                  <c:v>TUBE PENYOK</c:v>
                </c:pt>
                <c:pt idx="20">
                  <c:v>CAP MEKAR</c:v>
                </c:pt>
                <c:pt idx="21">
                  <c:v>CAP SCRATCH</c:v>
                </c:pt>
              </c:strCache>
            </c:strRef>
          </c:cat>
          <c:val>
            <c:numRef>
              <c:f>'Resume FG'!$F$35:$F$56</c:f>
              <c:numCache>
                <c:formatCode>0.00</c:formatCode>
                <c:ptCount val="22"/>
                <c:pt idx="0">
                  <c:v>8.1818181818181817</c:v>
                </c:pt>
                <c:pt idx="1">
                  <c:v>16.363636363636363</c:v>
                </c:pt>
                <c:pt idx="2">
                  <c:v>23.636363636363637</c:v>
                </c:pt>
                <c:pt idx="3">
                  <c:v>30.90909090909091</c:v>
                </c:pt>
                <c:pt idx="4">
                  <c:v>37.272727272727273</c:v>
                </c:pt>
                <c:pt idx="5">
                  <c:v>43.63636363636364</c:v>
                </c:pt>
                <c:pt idx="6">
                  <c:v>49.090909090909093</c:v>
                </c:pt>
                <c:pt idx="7">
                  <c:v>54.545454545454547</c:v>
                </c:pt>
                <c:pt idx="8">
                  <c:v>60</c:v>
                </c:pt>
                <c:pt idx="9">
                  <c:v>64.545454545454547</c:v>
                </c:pt>
                <c:pt idx="10">
                  <c:v>69.090909090909093</c:v>
                </c:pt>
                <c:pt idx="11">
                  <c:v>72.727272727272734</c:v>
                </c:pt>
                <c:pt idx="12">
                  <c:v>76.363636363636374</c:v>
                </c:pt>
                <c:pt idx="13">
                  <c:v>80.000000000000014</c:v>
                </c:pt>
                <c:pt idx="14">
                  <c:v>83.636363636363654</c:v>
                </c:pt>
                <c:pt idx="15">
                  <c:v>86.363636363636388</c:v>
                </c:pt>
                <c:pt idx="16">
                  <c:v>89.090909090909122</c:v>
                </c:pt>
                <c:pt idx="17">
                  <c:v>91.818181818181856</c:v>
                </c:pt>
                <c:pt idx="18">
                  <c:v>94.545454545454589</c:v>
                </c:pt>
                <c:pt idx="19">
                  <c:v>96.363636363636402</c:v>
                </c:pt>
                <c:pt idx="20">
                  <c:v>98.181818181818215</c:v>
                </c:pt>
                <c:pt idx="21">
                  <c:v>100.00000000000003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148-4D6A-8329-A43F71EFA4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79013192"/>
        <c:axId val="879015152"/>
      </c:lineChart>
      <c:catAx>
        <c:axId val="879016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9016720"/>
        <c:crosses val="autoZero"/>
        <c:auto val="1"/>
        <c:lblAlgn val="ctr"/>
        <c:lblOffset val="100"/>
        <c:noMultiLvlLbl val="0"/>
      </c:catAx>
      <c:valAx>
        <c:axId val="879016720"/>
        <c:scaling>
          <c:orientation val="minMax"/>
          <c:max val="124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Quantity</a:t>
                </a:r>
                <a:r>
                  <a:rPr lang="en-US" baseline="0"/>
                  <a:t> (pcs)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9016328"/>
        <c:crosses val="autoZero"/>
        <c:crossBetween val="between"/>
        <c:majorUnit val="20"/>
      </c:valAx>
      <c:valAx>
        <c:axId val="879015152"/>
        <c:scaling>
          <c:orientation val="minMax"/>
          <c:max val="10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Persentase</a:t>
                </a:r>
                <a:r>
                  <a:rPr lang="en-US" baseline="0"/>
                  <a:t> (%)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9013192"/>
        <c:crosses val="max"/>
        <c:crossBetween val="between"/>
        <c:majorUnit val="25"/>
      </c:valAx>
      <c:catAx>
        <c:axId val="87901319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87901515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FREKUENSI TEMUAN W33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'Resume FG'!$C$60</c:f>
              <c:strCache>
                <c:ptCount val="1"/>
                <c:pt idx="0">
                  <c:v>Repeat issue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'Resume FG'!$B$61:$B$81</c:f>
            </c:multiLvlStrRef>
          </c:cat>
          <c:val>
            <c:numRef>
              <c:f>'Resume FG'!$C$61:$C$81</c:f>
            </c:numRef>
          </c:val>
          <c:extLst>
            <c:ext xmlns:c16="http://schemas.microsoft.com/office/drawing/2014/chart" uri="{C3380CC4-5D6E-409C-BE32-E72D297353CC}">
              <c16:uniqueId val="{00000000-DC6D-4F72-A4C4-C078AC7B1D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79012016"/>
        <c:axId val="879010056"/>
      </c:barChart>
      <c:lineChart>
        <c:grouping val="standard"/>
        <c:varyColors val="0"/>
        <c:ser>
          <c:idx val="1"/>
          <c:order val="1"/>
          <c:tx>
            <c:strRef>
              <c:f>'Resume FG'!$F$60</c:f>
              <c:strCache>
                <c:ptCount val="1"/>
                <c:pt idx="0">
                  <c:v>Cumulative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'Resume FG'!$B$61:$B$81</c:f>
            </c:multiLvlStrRef>
          </c:cat>
          <c:val>
            <c:numRef>
              <c:f>'Resume FG'!$F$61:$F$81</c:f>
            </c:numRef>
          </c:val>
          <c:smooth val="0"/>
          <c:extLst>
            <c:ext xmlns:c16="http://schemas.microsoft.com/office/drawing/2014/chart" uri="{C3380CC4-5D6E-409C-BE32-E72D297353CC}">
              <c16:uniqueId val="{00000001-DC6D-4F72-A4C4-C078AC7B1D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79011624"/>
        <c:axId val="879010448"/>
      </c:lineChart>
      <c:catAx>
        <c:axId val="879012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9010056"/>
        <c:crosses val="autoZero"/>
        <c:auto val="1"/>
        <c:lblAlgn val="ctr"/>
        <c:lblOffset val="100"/>
        <c:noMultiLvlLbl val="0"/>
      </c:catAx>
      <c:valAx>
        <c:axId val="879010056"/>
        <c:scaling>
          <c:orientation val="minMax"/>
          <c:max val="9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Frekuensi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9012016"/>
        <c:crosses val="autoZero"/>
        <c:crossBetween val="between"/>
        <c:majorUnit val="10"/>
      </c:valAx>
      <c:valAx>
        <c:axId val="879010448"/>
        <c:scaling>
          <c:orientation val="minMax"/>
          <c:max val="10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Persentase</a:t>
                </a:r>
                <a:r>
                  <a:rPr lang="en-US" baseline="0"/>
                  <a:t> (%)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9011624"/>
        <c:crosses val="max"/>
        <c:crossBetween val="between"/>
        <c:majorUnit val="25"/>
      </c:valAx>
      <c:catAx>
        <c:axId val="87901162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87901044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'Resume FG'!$C$123</c:f>
              <c:strCache>
                <c:ptCount val="1"/>
                <c:pt idx="0">
                  <c:v>FREKUENSI</c:v>
                </c:pt>
              </c:strCache>
            </c:strRef>
          </c:tx>
          <c:spPr>
            <a:solidFill>
              <a:schemeClr val="lt1"/>
            </a:solidFill>
            <a:ln w="19050">
              <a:solidFill>
                <a:schemeClr val="accent1"/>
              </a:solidFill>
            </a:ln>
            <a:effectLst/>
          </c:spPr>
          <c:dPt>
            <c:idx val="0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B9E-4B8D-AD38-F5CCD4B23DCB}"/>
              </c:ext>
            </c:extLst>
          </c:dPt>
          <c:dPt>
            <c:idx val="1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B9E-4B8D-AD38-F5CCD4B23DCB}"/>
              </c:ext>
            </c:extLst>
          </c:dPt>
          <c:dPt>
            <c:idx val="2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B9E-4B8D-AD38-F5CCD4B23DCB}"/>
              </c:ext>
            </c:extLst>
          </c:dPt>
          <c:dPt>
            <c:idx val="3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BB9E-4B8D-AD38-F5CCD4B23DCB}"/>
              </c:ext>
            </c:extLst>
          </c:dPt>
          <c:dPt>
            <c:idx val="4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BB9E-4B8D-AD38-F5CCD4B23DCB}"/>
              </c:ext>
            </c:extLst>
          </c:dPt>
          <c:dPt>
            <c:idx val="5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BB9E-4B8D-AD38-F5CCD4B23DC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accent1">
                      <a:lumMod val="60000"/>
                      <a:lumOff val="4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multiLvlStrRef>
              <c:f>'Resume FG'!$B$124:$B$129</c:f>
            </c:multiLvlStrRef>
          </c:cat>
          <c:val>
            <c:numRef>
              <c:f>'Resume FG'!$C$124:$C$129</c:f>
            </c:numRef>
          </c:val>
          <c:extLst>
            <c:ext xmlns:c16="http://schemas.microsoft.com/office/drawing/2014/chart" uri="{C3380CC4-5D6E-409C-BE32-E72D297353CC}">
              <c16:uniqueId val="{0000000C-BB9E-4B8D-AD38-F5CCD4B23DCB}"/>
            </c:ext>
          </c:extLst>
        </c:ser>
        <c:dLbls>
          <c:dLblPos val="inEnd"/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'Resume FG'!$C$143</c:f>
              <c:strCache>
                <c:ptCount val="1"/>
                <c:pt idx="0">
                  <c:v>Frekuensi temuan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'Resume FG'!$B$144:$B$148</c:f>
            </c:multiLvlStrRef>
          </c:cat>
          <c:val>
            <c:numRef>
              <c:f>'Resume FG'!$C$144:$C$148</c:f>
            </c:numRef>
          </c:val>
          <c:extLst>
            <c:ext xmlns:c16="http://schemas.microsoft.com/office/drawing/2014/chart" uri="{C3380CC4-5D6E-409C-BE32-E72D297353CC}">
              <c16:uniqueId val="{00000000-28CA-4811-9D03-E5285813FB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79007704"/>
        <c:axId val="879010840"/>
      </c:barChart>
      <c:catAx>
        <c:axId val="8790077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Mesin/proses</a:t>
                </a:r>
                <a:r>
                  <a:rPr lang="en-US" baseline="0"/>
                  <a:t> FG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9010840"/>
        <c:crosses val="autoZero"/>
        <c:auto val="1"/>
        <c:lblAlgn val="ctr"/>
        <c:lblOffset val="100"/>
        <c:noMultiLvlLbl val="0"/>
      </c:catAx>
      <c:valAx>
        <c:axId val="879010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Frekuensi</a:t>
                </a:r>
                <a:r>
                  <a:rPr lang="en-US" baseline="0"/>
                  <a:t> temuan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9007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FM</a:t>
            </a:r>
            <a:r>
              <a:rPr lang="en-US" baseline="0"/>
              <a:t> Debu W21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'Resume FG'!$C$143</c:f>
              <c:strCache>
                <c:ptCount val="1"/>
                <c:pt idx="0">
                  <c:v>Frekuensi temuan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'Resume FG'!$B$144:$B$148</c:f>
            </c:multiLvlStrRef>
          </c:cat>
          <c:val>
            <c:numRef>
              <c:f>'Resume FG'!$C$144:$C$148</c:f>
            </c:numRef>
          </c:val>
          <c:extLst>
            <c:ext xmlns:c16="http://schemas.microsoft.com/office/drawing/2014/chart" uri="{C3380CC4-5D6E-409C-BE32-E72D297353CC}">
              <c16:uniqueId val="{00000000-1233-4DF2-A5FD-1D7D253A2518}"/>
            </c:ext>
          </c:extLst>
        </c:ser>
        <c:ser>
          <c:idx val="1"/>
          <c:order val="1"/>
          <c:tx>
            <c:strRef>
              <c:f>'Resume FG'!$D$143</c:f>
              <c:strCache>
                <c:ptCount val="1"/>
                <c:pt idx="0">
                  <c:v>Item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'Resume FG'!$B$144:$B$148</c:f>
            </c:multiLvlStrRef>
          </c:cat>
          <c:val>
            <c:numRef>
              <c:f>'Resume FG'!$D$144:$D$148</c:f>
            </c:numRef>
          </c:val>
          <c:extLst>
            <c:ext xmlns:c16="http://schemas.microsoft.com/office/drawing/2014/chart" uri="{C3380CC4-5D6E-409C-BE32-E72D297353CC}">
              <c16:uniqueId val="{00000001-1233-4DF2-A5FD-1D7D253A25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79006136"/>
        <c:axId val="879012800"/>
      </c:barChart>
      <c:catAx>
        <c:axId val="87900613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Mesin/proses</a:t>
                </a:r>
                <a:r>
                  <a:rPr lang="en-US" baseline="0"/>
                  <a:t> FG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9012800"/>
        <c:crosses val="autoZero"/>
        <c:auto val="1"/>
        <c:lblAlgn val="ctr"/>
        <c:lblOffset val="100"/>
        <c:noMultiLvlLbl val="0"/>
      </c:catAx>
      <c:valAx>
        <c:axId val="879012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Frekuensi</a:t>
                </a:r>
                <a:r>
                  <a:rPr lang="en-US" baseline="0"/>
                  <a:t> temuan / jml item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90061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1-84BE-4C31-BAD4-87973CB9E0C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3-84BE-4C31-BAD4-87973CB9E0C6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84BE-4C31-BAD4-87973CB9E0C6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84BE-4C31-BAD4-87973CB9E0C6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multiLvlStrRef>
              <c:f>'Resume FG'!$B$166:$B$167</c:f>
            </c:multiLvlStrRef>
          </c:cat>
          <c:val>
            <c:numRef>
              <c:f>'Resume FG'!$C$166:$C$167</c:f>
            </c:numRef>
          </c:val>
          <c:extLst>
            <c:ext xmlns:c16="http://schemas.microsoft.com/office/drawing/2014/chart" uri="{C3380CC4-5D6E-409C-BE32-E72D297353CC}">
              <c16:uniqueId val="{00000004-84BE-4C31-BAD4-87973CB9E0C6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'Resume FG'!$E$179:$E$182</c:f>
            </c:multiLvlStrRef>
          </c:cat>
          <c:val>
            <c:numRef>
              <c:f>'Resume FG'!$F$179:$F$182</c:f>
            </c:numRef>
          </c:val>
          <c:extLst>
            <c:ext xmlns:c16="http://schemas.microsoft.com/office/drawing/2014/chart" uri="{C3380CC4-5D6E-409C-BE32-E72D297353CC}">
              <c16:uniqueId val="{00000000-A183-4220-8509-D3CA441553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79012408"/>
        <c:axId val="879008096"/>
      </c:barChart>
      <c:catAx>
        <c:axId val="879012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9008096"/>
        <c:crosses val="autoZero"/>
        <c:auto val="1"/>
        <c:lblAlgn val="ctr"/>
        <c:lblOffset val="100"/>
        <c:noMultiLvlLbl val="0"/>
      </c:catAx>
      <c:valAx>
        <c:axId val="879008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90124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60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>
      <cs:styleClr val="0"/>
    </cs:lnRef>
    <cs:fillRef idx="0"/>
    <cs:effectRef idx="0"/>
    <cs:fontRef idx="minor">
      <cs:styleClr val="0"/>
    </cs:fontRef>
    <cs:defRPr sz="900" b="1" kern="1200"/>
  </cs:dataLabel>
  <cs:dataLabelCallout>
    <cs:lnRef idx="0">
      <cs:styleClr val="0"/>
    </cs:lnRef>
    <cs:fillRef idx="0"/>
    <cs:effectRef idx="0"/>
    <cs:fontRef idx="minor">
      <cs:styleClr val="0"/>
    </cs:fontRef>
    <cs:spPr>
      <a:solidFill>
        <a:schemeClr val="lt1"/>
      </a:solidFill>
      <a:ln>
        <a:solidFill>
          <a:schemeClr val="phClr"/>
        </a:solidFill>
      </a:ln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0"/>
    </cs:lnRef>
    <cs:fillRef idx="0"/>
    <cs:effectRef idx="0"/>
    <cs:fontRef idx="minor">
      <a:schemeClr val="dk1"/>
    </cs:fontRef>
    <cs:spPr>
      <a:solidFill>
        <a:schemeClr val="lt1"/>
      </a:solidFill>
      <a:ln w="19050"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6.xml"/><Relationship Id="rId3" Type="http://schemas.openxmlformats.org/officeDocument/2006/relationships/chart" Target="../charts/chart11.xml"/><Relationship Id="rId7" Type="http://schemas.openxmlformats.org/officeDocument/2006/relationships/chart" Target="../charts/chart15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6" Type="http://schemas.openxmlformats.org/officeDocument/2006/relationships/chart" Target="../charts/chart14.xml"/><Relationship Id="rId5" Type="http://schemas.openxmlformats.org/officeDocument/2006/relationships/chart" Target="../charts/chart13.xml"/><Relationship Id="rId10" Type="http://schemas.openxmlformats.org/officeDocument/2006/relationships/chart" Target="../charts/chart18.xml"/><Relationship Id="rId4" Type="http://schemas.openxmlformats.org/officeDocument/2006/relationships/chart" Target="../charts/chart12.xml"/><Relationship Id="rId9" Type="http://schemas.openxmlformats.org/officeDocument/2006/relationships/chart" Target="../charts/chart1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514349</xdr:colOff>
      <xdr:row>82</xdr:row>
      <xdr:rowOff>233362</xdr:rowOff>
    </xdr:from>
    <xdr:to>
      <xdr:col>16</xdr:col>
      <xdr:colOff>9524</xdr:colOff>
      <xdr:row>98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114300</xdr:colOff>
      <xdr:row>108</xdr:row>
      <xdr:rowOff>138112</xdr:rowOff>
    </xdr:from>
    <xdr:to>
      <xdr:col>14</xdr:col>
      <xdr:colOff>419100</xdr:colOff>
      <xdr:row>123</xdr:row>
      <xdr:rowOff>23812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146051</xdr:colOff>
      <xdr:row>45</xdr:row>
      <xdr:rowOff>177799</xdr:rowOff>
    </xdr:from>
    <xdr:to>
      <xdr:col>15</xdr:col>
      <xdr:colOff>821766</xdr:colOff>
      <xdr:row>70</xdr:row>
      <xdr:rowOff>164352</xdr:rowOff>
    </xdr:to>
    <xdr:graphicFrame macro="">
      <xdr:nvGraphicFramePr>
        <xdr:cNvPr id="12" name="Chart 11" title="EXAMPLE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441325</xdr:colOff>
      <xdr:row>0</xdr:row>
      <xdr:rowOff>6350</xdr:rowOff>
    </xdr:from>
    <xdr:to>
      <xdr:col>9</xdr:col>
      <xdr:colOff>242047</xdr:colOff>
      <xdr:row>8</xdr:row>
      <xdr:rowOff>57150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366060</xdr:colOff>
      <xdr:row>19</xdr:row>
      <xdr:rowOff>115047</xdr:rowOff>
    </xdr:from>
    <xdr:to>
      <xdr:col>10</xdr:col>
      <xdr:colOff>500530</xdr:colOff>
      <xdr:row>31</xdr:row>
      <xdr:rowOff>82176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363069</xdr:colOff>
      <xdr:row>32</xdr:row>
      <xdr:rowOff>36981</xdr:rowOff>
    </xdr:from>
    <xdr:to>
      <xdr:col>10</xdr:col>
      <xdr:colOff>209176</xdr:colOff>
      <xdr:row>45</xdr:row>
      <xdr:rowOff>82176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10</xdr:col>
      <xdr:colOff>450849</xdr:colOff>
      <xdr:row>8</xdr:row>
      <xdr:rowOff>120650</xdr:rowOff>
    </xdr:from>
    <xdr:to>
      <xdr:col>14</xdr:col>
      <xdr:colOff>574674</xdr:colOff>
      <xdr:row>19</xdr:row>
      <xdr:rowOff>139700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5</xdr:col>
      <xdr:colOff>448233</xdr:colOff>
      <xdr:row>8</xdr:row>
      <xdr:rowOff>179294</xdr:rowOff>
    </xdr:from>
    <xdr:to>
      <xdr:col>9</xdr:col>
      <xdr:colOff>388470</xdr:colOff>
      <xdr:row>17</xdr:row>
      <xdr:rowOff>156882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74D4A96-C4C5-41D4-AB21-079769F5EA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254000</xdr:colOff>
      <xdr:row>85</xdr:row>
      <xdr:rowOff>13881</xdr:rowOff>
    </xdr:from>
    <xdr:to>
      <xdr:col>8</xdr:col>
      <xdr:colOff>1882589</xdr:colOff>
      <xdr:row>99</xdr:row>
      <xdr:rowOff>156882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589141</xdr:colOff>
      <xdr:row>8</xdr:row>
      <xdr:rowOff>5998</xdr:rowOff>
    </xdr:from>
    <xdr:to>
      <xdr:col>9</xdr:col>
      <xdr:colOff>419809</xdr:colOff>
      <xdr:row>28</xdr:row>
      <xdr:rowOff>49390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624417</xdr:colOff>
      <xdr:row>101</xdr:row>
      <xdr:rowOff>104775</xdr:rowOff>
    </xdr:from>
    <xdr:to>
      <xdr:col>11</xdr:col>
      <xdr:colOff>497417</xdr:colOff>
      <xdr:row>118</xdr:row>
      <xdr:rowOff>128059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239888</xdr:colOff>
      <xdr:row>33</xdr:row>
      <xdr:rowOff>706</xdr:rowOff>
    </xdr:from>
    <xdr:to>
      <xdr:col>13</xdr:col>
      <xdr:colOff>896056</xdr:colOff>
      <xdr:row>56</xdr:row>
      <xdr:rowOff>84668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137583</xdr:colOff>
      <xdr:row>58</xdr:row>
      <xdr:rowOff>43040</xdr:rowOff>
    </xdr:from>
    <xdr:to>
      <xdr:col>13</xdr:col>
      <xdr:colOff>388056</xdr:colOff>
      <xdr:row>81</xdr:row>
      <xdr:rowOff>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222250</xdr:colOff>
      <xdr:row>123</xdr:row>
      <xdr:rowOff>67733</xdr:rowOff>
    </xdr:from>
    <xdr:to>
      <xdr:col>10</xdr:col>
      <xdr:colOff>702028</xdr:colOff>
      <xdr:row>138</xdr:row>
      <xdr:rowOff>59267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102304</xdr:colOff>
      <xdr:row>150</xdr:row>
      <xdr:rowOff>74788</xdr:rowOff>
    </xdr:from>
    <xdr:to>
      <xdr:col>3</xdr:col>
      <xdr:colOff>719665</xdr:colOff>
      <xdr:row>160</xdr:row>
      <xdr:rowOff>98778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8</xdr:col>
      <xdr:colOff>38806</xdr:colOff>
      <xdr:row>145</xdr:row>
      <xdr:rowOff>124177</xdr:rowOff>
    </xdr:from>
    <xdr:to>
      <xdr:col>12</xdr:col>
      <xdr:colOff>1506361</xdr:colOff>
      <xdr:row>160</xdr:row>
      <xdr:rowOff>115710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4</xdr:col>
      <xdr:colOff>539750</xdr:colOff>
      <xdr:row>157</xdr:row>
      <xdr:rowOff>67734</xdr:rowOff>
    </xdr:from>
    <xdr:to>
      <xdr:col>8</xdr:col>
      <xdr:colOff>1837972</xdr:colOff>
      <xdr:row>172</xdr:row>
      <xdr:rowOff>59267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</xdr:col>
      <xdr:colOff>1763888</xdr:colOff>
      <xdr:row>176</xdr:row>
      <xdr:rowOff>71261</xdr:rowOff>
    </xdr:from>
    <xdr:to>
      <xdr:col>8</xdr:col>
      <xdr:colOff>338666</xdr:colOff>
      <xdr:row>191</xdr:row>
      <xdr:rowOff>62794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CEB75545-AD82-BADB-F87F-70CE788545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4:I24"/>
  <sheetViews>
    <sheetView workbookViewId="0">
      <selection activeCell="D4" sqref="D4:D8"/>
    </sheetView>
  </sheetViews>
  <sheetFormatPr defaultColWidth="9.08984375" defaultRowHeight="14.5" x14ac:dyDescent="0.35"/>
  <cols>
    <col min="1" max="1" width="9.08984375" style="8"/>
    <col min="2" max="2" width="9.08984375" style="8" customWidth="1"/>
    <col min="3" max="3" width="4" style="7" customWidth="1"/>
    <col min="4" max="4" width="42.90625" style="25" customWidth="1"/>
    <col min="5" max="16384" width="9.08984375" style="8"/>
  </cols>
  <sheetData>
    <row r="4" spans="3:9" x14ac:dyDescent="0.35">
      <c r="C4" s="7">
        <v>7</v>
      </c>
      <c r="D4" s="25" t="s">
        <v>140</v>
      </c>
      <c r="H4" s="7"/>
      <c r="I4" s="25"/>
    </row>
    <row r="5" spans="3:9" x14ac:dyDescent="0.35">
      <c r="C5" s="7">
        <v>6</v>
      </c>
      <c r="D5" s="25" t="s">
        <v>143</v>
      </c>
      <c r="H5" s="7"/>
      <c r="I5" s="25"/>
    </row>
    <row r="6" spans="3:9" x14ac:dyDescent="0.35">
      <c r="C6" s="7">
        <v>5</v>
      </c>
      <c r="D6" s="25" t="s">
        <v>79</v>
      </c>
      <c r="H6" s="7"/>
      <c r="I6" s="25"/>
    </row>
    <row r="7" spans="3:9" x14ac:dyDescent="0.35">
      <c r="C7" s="7">
        <v>5</v>
      </c>
      <c r="D7" s="25" t="s">
        <v>139</v>
      </c>
      <c r="H7" s="7"/>
      <c r="I7" s="25"/>
    </row>
    <row r="8" spans="3:9" x14ac:dyDescent="0.35">
      <c r="C8" s="7">
        <v>5</v>
      </c>
      <c r="D8" s="25" t="s">
        <v>141</v>
      </c>
      <c r="H8" s="7"/>
      <c r="I8" s="25"/>
    </row>
    <row r="9" spans="3:9" x14ac:dyDescent="0.35">
      <c r="C9" s="7">
        <v>5</v>
      </c>
      <c r="D9" s="25" t="s">
        <v>142</v>
      </c>
      <c r="H9" s="7"/>
      <c r="I9" s="25"/>
    </row>
    <row r="10" spans="3:9" x14ac:dyDescent="0.35">
      <c r="C10" s="7">
        <v>4</v>
      </c>
      <c r="D10" s="25" t="s">
        <v>137</v>
      </c>
      <c r="G10" s="8" t="s">
        <v>127</v>
      </c>
      <c r="H10" s="7"/>
      <c r="I10" s="25"/>
    </row>
    <row r="11" spans="3:9" x14ac:dyDescent="0.35">
      <c r="C11" s="7">
        <v>4</v>
      </c>
      <c r="D11" s="25" t="s">
        <v>60</v>
      </c>
      <c r="H11" s="7"/>
      <c r="I11" s="25"/>
    </row>
    <row r="12" spans="3:9" x14ac:dyDescent="0.35">
      <c r="C12" s="7">
        <v>3</v>
      </c>
      <c r="D12" s="25" t="s">
        <v>4</v>
      </c>
      <c r="F12" s="8" t="s">
        <v>127</v>
      </c>
      <c r="H12" s="7"/>
      <c r="I12" s="25"/>
    </row>
    <row r="13" spans="3:9" x14ac:dyDescent="0.35">
      <c r="C13" s="7">
        <v>3</v>
      </c>
      <c r="D13" s="25" t="s">
        <v>5</v>
      </c>
      <c r="H13" s="7"/>
      <c r="I13" s="25"/>
    </row>
    <row r="14" spans="3:9" x14ac:dyDescent="0.35">
      <c r="C14" s="7">
        <v>3</v>
      </c>
      <c r="D14" s="25" t="s">
        <v>144</v>
      </c>
      <c r="H14" s="7"/>
      <c r="I14" s="25"/>
    </row>
    <row r="15" spans="3:9" x14ac:dyDescent="0.35">
      <c r="C15" s="7">
        <v>3</v>
      </c>
      <c r="D15" s="25" t="s">
        <v>81</v>
      </c>
    </row>
    <row r="16" spans="3:9" x14ac:dyDescent="0.35">
      <c r="C16" s="7">
        <v>3</v>
      </c>
      <c r="D16" s="25" t="s">
        <v>108</v>
      </c>
    </row>
    <row r="17" spans="3:7" x14ac:dyDescent="0.35">
      <c r="C17" s="7">
        <v>3</v>
      </c>
      <c r="D17" s="25" t="s">
        <v>145</v>
      </c>
    </row>
    <row r="18" spans="3:7" x14ac:dyDescent="0.35">
      <c r="C18" s="7">
        <v>2</v>
      </c>
      <c r="D18" s="25" t="s">
        <v>66</v>
      </c>
    </row>
    <row r="19" spans="3:7" x14ac:dyDescent="0.35">
      <c r="C19" s="7">
        <v>2</v>
      </c>
      <c r="D19" s="25" t="s">
        <v>138</v>
      </c>
    </row>
    <row r="20" spans="3:7" x14ac:dyDescent="0.35">
      <c r="C20" s="7">
        <v>2</v>
      </c>
      <c r="D20" s="25" t="s">
        <v>111</v>
      </c>
    </row>
    <row r="21" spans="3:7" x14ac:dyDescent="0.35">
      <c r="C21" s="7">
        <v>2</v>
      </c>
      <c r="D21" s="25" t="s">
        <v>29</v>
      </c>
      <c r="G21" s="8" t="s">
        <v>127</v>
      </c>
    </row>
    <row r="22" spans="3:7" x14ac:dyDescent="0.35">
      <c r="C22" s="7">
        <v>2</v>
      </c>
      <c r="D22" s="25" t="s">
        <v>134</v>
      </c>
    </row>
    <row r="23" spans="3:7" x14ac:dyDescent="0.35">
      <c r="C23" s="7">
        <v>2</v>
      </c>
      <c r="D23" s="25" t="s">
        <v>146</v>
      </c>
    </row>
    <row r="24" spans="3:7" x14ac:dyDescent="0.35">
      <c r="C24" s="7">
        <v>1</v>
      </c>
      <c r="D24" s="25" t="s">
        <v>109</v>
      </c>
    </row>
  </sheetData>
  <sortState xmlns:xlrd2="http://schemas.microsoft.com/office/spreadsheetml/2017/richdata2" ref="C4:D24">
    <sortCondition descending="1" ref="C4:C24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66"/>
  <sheetViews>
    <sheetView showGridLines="0" topLeftCell="A48" zoomScale="85" zoomScaleNormal="85" workbookViewId="0">
      <selection activeCell="C53" sqref="C53"/>
    </sheetView>
  </sheetViews>
  <sheetFormatPr defaultColWidth="9.08984375" defaultRowHeight="14.5" x14ac:dyDescent="0.35"/>
  <cols>
    <col min="1" max="1" width="9.08984375" style="27"/>
    <col min="2" max="2" width="29.6328125" style="27" customWidth="1"/>
    <col min="3" max="3" width="12.453125" style="27" bestFit="1" customWidth="1"/>
    <col min="4" max="4" width="10.26953125" style="27" customWidth="1"/>
    <col min="5" max="5" width="15.1796875" style="27" customWidth="1"/>
    <col min="6" max="6" width="12.08984375" style="27" bestFit="1" customWidth="1"/>
    <col min="7" max="11" width="9.08984375" style="27"/>
    <col min="12" max="12" width="12" style="36" bestFit="1" customWidth="1"/>
    <col min="13" max="13" width="13" style="27" bestFit="1" customWidth="1"/>
    <col min="14" max="14" width="9.08984375" style="27"/>
    <col min="15" max="15" width="12" style="27" bestFit="1" customWidth="1"/>
    <col min="16" max="16" width="14.453125" style="27" bestFit="1" customWidth="1"/>
    <col min="17" max="16384" width="9.08984375" style="27"/>
  </cols>
  <sheetData>
    <row r="1" spans="1:16" x14ac:dyDescent="0.35">
      <c r="A1" s="52" t="s">
        <v>126</v>
      </c>
      <c r="C1" s="64">
        <v>46109</v>
      </c>
    </row>
    <row r="3" spans="1:16" x14ac:dyDescent="0.35">
      <c r="B3" s="62" t="s">
        <v>36</v>
      </c>
      <c r="L3" s="38" t="s">
        <v>52</v>
      </c>
      <c r="M3" s="38" t="s">
        <v>85</v>
      </c>
      <c r="O3" s="28" t="s">
        <v>52</v>
      </c>
      <c r="P3" s="28" t="s">
        <v>85</v>
      </c>
    </row>
    <row r="4" spans="1:16" x14ac:dyDescent="0.35">
      <c r="D4" s="28" t="s">
        <v>35</v>
      </c>
      <c r="E4" s="28" t="s">
        <v>125</v>
      </c>
      <c r="L4" s="29" t="s">
        <v>50</v>
      </c>
      <c r="M4" s="23">
        <v>26</v>
      </c>
      <c r="O4" s="29" t="s">
        <v>51</v>
      </c>
      <c r="P4" s="23">
        <f>E34</f>
        <v>23</v>
      </c>
    </row>
    <row r="5" spans="1:16" x14ac:dyDescent="0.35">
      <c r="D5" s="23" t="s">
        <v>37</v>
      </c>
      <c r="E5" s="23">
        <v>6</v>
      </c>
      <c r="L5" s="29" t="s">
        <v>51</v>
      </c>
      <c r="M5" s="23">
        <v>23</v>
      </c>
      <c r="O5" s="29" t="s">
        <v>50</v>
      </c>
      <c r="P5" s="23">
        <f>E20</f>
        <v>26</v>
      </c>
    </row>
    <row r="6" spans="1:16" x14ac:dyDescent="0.35">
      <c r="D6" s="23" t="s">
        <v>38</v>
      </c>
      <c r="E6" s="23">
        <v>5</v>
      </c>
      <c r="L6" s="29" t="s">
        <v>110</v>
      </c>
      <c r="M6" s="23">
        <v>11</v>
      </c>
      <c r="O6" s="29" t="s">
        <v>118</v>
      </c>
      <c r="P6" s="23">
        <f>E44</f>
        <v>9</v>
      </c>
    </row>
    <row r="7" spans="1:16" x14ac:dyDescent="0.35">
      <c r="E7" s="27">
        <f>SUM(E5:E6)</f>
        <v>11</v>
      </c>
      <c r="L7" s="29" t="s">
        <v>118</v>
      </c>
      <c r="M7" s="23">
        <v>9</v>
      </c>
      <c r="O7" s="29" t="s">
        <v>110</v>
      </c>
      <c r="P7" s="23">
        <f>E7</f>
        <v>11</v>
      </c>
    </row>
    <row r="8" spans="1:16" x14ac:dyDescent="0.35">
      <c r="M8" s="27">
        <f>SUM(M4:M7)</f>
        <v>69</v>
      </c>
      <c r="P8" s="27">
        <f>SUM(P4:P7)</f>
        <v>69</v>
      </c>
    </row>
    <row r="11" spans="1:16" x14ac:dyDescent="0.35">
      <c r="B11" s="62" t="s">
        <v>50</v>
      </c>
    </row>
    <row r="12" spans="1:16" x14ac:dyDescent="0.35">
      <c r="D12" s="28" t="s">
        <v>35</v>
      </c>
      <c r="E12" s="28" t="s">
        <v>82</v>
      </c>
    </row>
    <row r="13" spans="1:16" x14ac:dyDescent="0.35">
      <c r="D13" s="23" t="s">
        <v>40</v>
      </c>
      <c r="E13" s="23">
        <v>5</v>
      </c>
    </row>
    <row r="14" spans="1:16" x14ac:dyDescent="0.35">
      <c r="D14" s="23" t="s">
        <v>41</v>
      </c>
      <c r="E14" s="23">
        <v>5</v>
      </c>
    </row>
    <row r="15" spans="1:16" x14ac:dyDescent="0.35">
      <c r="D15" s="23" t="s">
        <v>42</v>
      </c>
      <c r="E15" s="23">
        <v>4</v>
      </c>
    </row>
    <row r="16" spans="1:16" x14ac:dyDescent="0.35">
      <c r="D16" s="23" t="s">
        <v>43</v>
      </c>
      <c r="E16" s="23">
        <v>2</v>
      </c>
    </row>
    <row r="17" spans="2:5" x14ac:dyDescent="0.35">
      <c r="D17" s="23" t="s">
        <v>44</v>
      </c>
      <c r="E17" s="23"/>
    </row>
    <row r="18" spans="2:5" x14ac:dyDescent="0.35">
      <c r="D18" s="23" t="s">
        <v>64</v>
      </c>
      <c r="E18" s="23">
        <v>6</v>
      </c>
    </row>
    <row r="19" spans="2:5" x14ac:dyDescent="0.35">
      <c r="D19" s="23" t="s">
        <v>121</v>
      </c>
      <c r="E19" s="23">
        <v>4</v>
      </c>
    </row>
    <row r="20" spans="2:5" x14ac:dyDescent="0.35">
      <c r="E20" s="27">
        <f>SUM(E13:E19)</f>
        <v>26</v>
      </c>
    </row>
    <row r="22" spans="2:5" x14ac:dyDescent="0.35">
      <c r="B22" s="62" t="s">
        <v>53</v>
      </c>
    </row>
    <row r="23" spans="2:5" x14ac:dyDescent="0.35">
      <c r="D23" s="28" t="s">
        <v>35</v>
      </c>
      <c r="E23" s="28" t="s">
        <v>83</v>
      </c>
    </row>
    <row r="24" spans="2:5" x14ac:dyDescent="0.35">
      <c r="D24" s="23" t="s">
        <v>45</v>
      </c>
      <c r="E24" s="23">
        <v>4</v>
      </c>
    </row>
    <row r="25" spans="2:5" x14ac:dyDescent="0.35">
      <c r="D25" s="23" t="s">
        <v>46</v>
      </c>
      <c r="E25" s="23">
        <v>6</v>
      </c>
    </row>
    <row r="26" spans="2:5" x14ac:dyDescent="0.35">
      <c r="D26" s="23" t="s">
        <v>31</v>
      </c>
      <c r="E26" s="23">
        <v>1</v>
      </c>
    </row>
    <row r="27" spans="2:5" x14ac:dyDescent="0.35">
      <c r="D27" s="23" t="s">
        <v>47</v>
      </c>
      <c r="E27" s="23">
        <v>3</v>
      </c>
    </row>
    <row r="28" spans="2:5" x14ac:dyDescent="0.35">
      <c r="D28" s="23" t="s">
        <v>48</v>
      </c>
      <c r="E28" s="23">
        <v>3</v>
      </c>
    </row>
    <row r="29" spans="2:5" x14ac:dyDescent="0.35">
      <c r="D29" s="23" t="s">
        <v>49</v>
      </c>
      <c r="E29" s="23">
        <v>4</v>
      </c>
    </row>
    <row r="30" spans="2:5" x14ac:dyDescent="0.35">
      <c r="D30" s="23" t="s">
        <v>123</v>
      </c>
      <c r="E30" s="23">
        <v>1</v>
      </c>
    </row>
    <row r="31" spans="2:5" x14ac:dyDescent="0.35">
      <c r="D31" s="23" t="s">
        <v>33</v>
      </c>
      <c r="E31" s="23"/>
    </row>
    <row r="32" spans="2:5" x14ac:dyDescent="0.35">
      <c r="D32" s="23" t="s">
        <v>130</v>
      </c>
      <c r="E32" s="23"/>
    </row>
    <row r="33" spans="2:6" x14ac:dyDescent="0.35">
      <c r="D33" s="23" t="s">
        <v>122</v>
      </c>
      <c r="E33" s="23">
        <v>1</v>
      </c>
    </row>
    <row r="34" spans="2:6" x14ac:dyDescent="0.35">
      <c r="E34" s="27">
        <f>SUM(E24:E33)</f>
        <v>23</v>
      </c>
    </row>
    <row r="36" spans="2:6" x14ac:dyDescent="0.35">
      <c r="B36" s="62" t="s">
        <v>118</v>
      </c>
      <c r="D36" s="28" t="s">
        <v>35</v>
      </c>
      <c r="E36" s="28" t="s">
        <v>84</v>
      </c>
    </row>
    <row r="37" spans="2:6" x14ac:dyDescent="0.35">
      <c r="D37" s="23" t="s">
        <v>2</v>
      </c>
      <c r="E37" s="23">
        <v>2</v>
      </c>
    </row>
    <row r="38" spans="2:6" x14ac:dyDescent="0.35">
      <c r="D38" s="23" t="s">
        <v>3</v>
      </c>
      <c r="E38" s="23">
        <v>3</v>
      </c>
    </row>
    <row r="39" spans="2:6" x14ac:dyDescent="0.35">
      <c r="D39" s="23" t="s">
        <v>68</v>
      </c>
      <c r="E39" s="23">
        <v>1</v>
      </c>
    </row>
    <row r="40" spans="2:6" x14ac:dyDescent="0.35">
      <c r="D40" s="23" t="s">
        <v>27</v>
      </c>
      <c r="E40" s="23"/>
    </row>
    <row r="41" spans="2:6" x14ac:dyDescent="0.35">
      <c r="D41" s="23" t="s">
        <v>26</v>
      </c>
      <c r="E41" s="23"/>
    </row>
    <row r="42" spans="2:6" x14ac:dyDescent="0.35">
      <c r="D42" s="23" t="s">
        <v>120</v>
      </c>
      <c r="E42" s="23">
        <v>2</v>
      </c>
    </row>
    <row r="43" spans="2:6" x14ac:dyDescent="0.35">
      <c r="D43" s="23" t="s">
        <v>23</v>
      </c>
      <c r="E43" s="23">
        <v>1</v>
      </c>
    </row>
    <row r="44" spans="2:6" x14ac:dyDescent="0.35">
      <c r="E44" s="27">
        <f>SUM(E37:E43)</f>
        <v>9</v>
      </c>
    </row>
    <row r="47" spans="2:6" ht="29" x14ac:dyDescent="0.35">
      <c r="B47" s="34" t="s">
        <v>101</v>
      </c>
      <c r="C47" s="34" t="s">
        <v>105</v>
      </c>
      <c r="D47" s="34" t="s">
        <v>102</v>
      </c>
      <c r="E47" s="42" t="s">
        <v>6</v>
      </c>
      <c r="F47" s="15" t="s">
        <v>104</v>
      </c>
    </row>
    <row r="48" spans="2:6" x14ac:dyDescent="0.35">
      <c r="B48" s="40" t="s">
        <v>140</v>
      </c>
      <c r="C48" s="35" t="s">
        <v>76</v>
      </c>
      <c r="D48" s="35">
        <v>7</v>
      </c>
      <c r="E48" s="43">
        <f>D48/$D$69*100</f>
        <v>9.7222222222222232</v>
      </c>
      <c r="F48" s="18">
        <f>E48</f>
        <v>9.7222222222222232</v>
      </c>
    </row>
    <row r="49" spans="2:6" x14ac:dyDescent="0.35">
      <c r="B49" s="40" t="s">
        <v>143</v>
      </c>
      <c r="C49" s="19" t="s">
        <v>75</v>
      </c>
      <c r="D49" s="19">
        <v>6</v>
      </c>
      <c r="E49" s="43">
        <f t="shared" ref="E49:E68" si="0">D49/$D$69*100</f>
        <v>8.3333333333333321</v>
      </c>
      <c r="F49" s="18">
        <f>E49+F48</f>
        <v>18.055555555555557</v>
      </c>
    </row>
    <row r="50" spans="2:6" x14ac:dyDescent="0.35">
      <c r="B50" s="40" t="s">
        <v>79</v>
      </c>
      <c r="C50" s="35" t="s">
        <v>76</v>
      </c>
      <c r="D50" s="35">
        <v>5</v>
      </c>
      <c r="E50" s="43">
        <f t="shared" si="0"/>
        <v>6.9444444444444446</v>
      </c>
      <c r="F50" s="18">
        <f t="shared" ref="F50:F68" si="1">E50+F49</f>
        <v>25</v>
      </c>
    </row>
    <row r="51" spans="2:6" x14ac:dyDescent="0.35">
      <c r="B51" s="40" t="s">
        <v>139</v>
      </c>
      <c r="C51" s="35" t="s">
        <v>75</v>
      </c>
      <c r="D51" s="35">
        <v>5</v>
      </c>
      <c r="E51" s="43">
        <f t="shared" si="0"/>
        <v>6.9444444444444446</v>
      </c>
      <c r="F51" s="18">
        <f t="shared" si="1"/>
        <v>31.944444444444443</v>
      </c>
    </row>
    <row r="52" spans="2:6" x14ac:dyDescent="0.35">
      <c r="B52" s="40" t="s">
        <v>141</v>
      </c>
      <c r="C52" s="35" t="s">
        <v>76</v>
      </c>
      <c r="D52" s="35">
        <v>5</v>
      </c>
      <c r="E52" s="43">
        <f t="shared" si="0"/>
        <v>6.9444444444444446</v>
      </c>
      <c r="F52" s="18">
        <f t="shared" si="1"/>
        <v>38.888888888888886</v>
      </c>
    </row>
    <row r="53" spans="2:6" x14ac:dyDescent="0.35">
      <c r="B53" s="40" t="s">
        <v>142</v>
      </c>
      <c r="C53" s="35" t="s">
        <v>75</v>
      </c>
      <c r="D53" s="35">
        <v>5</v>
      </c>
      <c r="E53" s="43">
        <f t="shared" si="0"/>
        <v>6.9444444444444446</v>
      </c>
      <c r="F53" s="18">
        <f t="shared" si="1"/>
        <v>45.833333333333329</v>
      </c>
    </row>
    <row r="54" spans="2:6" x14ac:dyDescent="0.35">
      <c r="B54" s="40" t="s">
        <v>147</v>
      </c>
      <c r="C54" s="35" t="s">
        <v>75</v>
      </c>
      <c r="D54" s="35">
        <v>4</v>
      </c>
      <c r="E54" s="43">
        <f t="shared" si="0"/>
        <v>5.5555555555555554</v>
      </c>
      <c r="F54" s="18">
        <f t="shared" si="1"/>
        <v>51.388888888888886</v>
      </c>
    </row>
    <row r="55" spans="2:6" x14ac:dyDescent="0.35">
      <c r="B55" s="40" t="s">
        <v>60</v>
      </c>
      <c r="C55" s="35" t="s">
        <v>76</v>
      </c>
      <c r="D55" s="35">
        <v>4</v>
      </c>
      <c r="E55" s="43">
        <f t="shared" si="0"/>
        <v>5.5555555555555554</v>
      </c>
      <c r="F55" s="18">
        <f t="shared" si="1"/>
        <v>56.944444444444443</v>
      </c>
    </row>
    <row r="56" spans="2:6" x14ac:dyDescent="0.35">
      <c r="B56" s="40" t="s">
        <v>4</v>
      </c>
      <c r="C56" s="35" t="s">
        <v>76</v>
      </c>
      <c r="D56" s="35">
        <v>3</v>
      </c>
      <c r="E56" s="43">
        <f t="shared" si="0"/>
        <v>4.1666666666666661</v>
      </c>
      <c r="F56" s="18">
        <f t="shared" si="1"/>
        <v>61.111111111111107</v>
      </c>
    </row>
    <row r="57" spans="2:6" x14ac:dyDescent="0.35">
      <c r="B57" s="40" t="s">
        <v>5</v>
      </c>
      <c r="C57" s="35" t="s">
        <v>75</v>
      </c>
      <c r="D57" s="35">
        <v>3</v>
      </c>
      <c r="E57" s="43">
        <f t="shared" si="0"/>
        <v>4.1666666666666661</v>
      </c>
      <c r="F57" s="18">
        <f t="shared" si="1"/>
        <v>65.277777777777771</v>
      </c>
    </row>
    <row r="58" spans="2:6" x14ac:dyDescent="0.35">
      <c r="B58" s="40" t="s">
        <v>144</v>
      </c>
      <c r="C58" s="35" t="s">
        <v>75</v>
      </c>
      <c r="D58" s="35">
        <v>3</v>
      </c>
      <c r="E58" s="43">
        <f t="shared" si="0"/>
        <v>4.1666666666666661</v>
      </c>
      <c r="F58" s="18">
        <f t="shared" si="1"/>
        <v>69.444444444444443</v>
      </c>
    </row>
    <row r="59" spans="2:6" x14ac:dyDescent="0.35">
      <c r="B59" s="40" t="s">
        <v>81</v>
      </c>
      <c r="C59" s="35" t="s">
        <v>74</v>
      </c>
      <c r="D59" s="35">
        <v>3</v>
      </c>
      <c r="E59" s="43">
        <f t="shared" si="0"/>
        <v>4.1666666666666661</v>
      </c>
      <c r="F59" s="18">
        <f t="shared" si="1"/>
        <v>73.611111111111114</v>
      </c>
    </row>
    <row r="60" spans="2:6" x14ac:dyDescent="0.35">
      <c r="B60" s="40" t="s">
        <v>108</v>
      </c>
      <c r="C60" s="35" t="s">
        <v>76</v>
      </c>
      <c r="D60" s="35">
        <v>3</v>
      </c>
      <c r="E60" s="43">
        <f t="shared" si="0"/>
        <v>4.1666666666666661</v>
      </c>
      <c r="F60" s="18">
        <f t="shared" si="1"/>
        <v>77.777777777777786</v>
      </c>
    </row>
    <row r="61" spans="2:6" x14ac:dyDescent="0.35">
      <c r="B61" s="40" t="s">
        <v>145</v>
      </c>
      <c r="C61" s="35" t="s">
        <v>76</v>
      </c>
      <c r="D61" s="35">
        <v>3</v>
      </c>
      <c r="E61" s="43">
        <f t="shared" si="0"/>
        <v>4.1666666666666661</v>
      </c>
      <c r="F61" s="18">
        <f t="shared" si="1"/>
        <v>81.944444444444457</v>
      </c>
    </row>
    <row r="62" spans="2:6" x14ac:dyDescent="0.35">
      <c r="B62" s="40" t="s">
        <v>66</v>
      </c>
      <c r="C62" s="35" t="s">
        <v>74</v>
      </c>
      <c r="D62" s="35">
        <v>2</v>
      </c>
      <c r="E62" s="43">
        <f t="shared" si="0"/>
        <v>2.7777777777777777</v>
      </c>
      <c r="F62" s="18">
        <f t="shared" si="1"/>
        <v>84.722222222222229</v>
      </c>
    </row>
    <row r="63" spans="2:6" x14ac:dyDescent="0.35">
      <c r="B63" s="40" t="s">
        <v>138</v>
      </c>
      <c r="C63" s="35" t="s">
        <v>74</v>
      </c>
      <c r="D63" s="35">
        <v>2</v>
      </c>
      <c r="E63" s="43">
        <f t="shared" si="0"/>
        <v>2.7777777777777777</v>
      </c>
      <c r="F63" s="18">
        <f t="shared" si="1"/>
        <v>87.5</v>
      </c>
    </row>
    <row r="64" spans="2:6" x14ac:dyDescent="0.35">
      <c r="B64" s="40" t="s">
        <v>111</v>
      </c>
      <c r="C64" s="35" t="s">
        <v>75</v>
      </c>
      <c r="D64" s="35">
        <v>2</v>
      </c>
      <c r="E64" s="43">
        <f t="shared" si="0"/>
        <v>2.7777777777777777</v>
      </c>
      <c r="F64" s="18">
        <f t="shared" si="1"/>
        <v>90.277777777777771</v>
      </c>
    </row>
    <row r="65" spans="2:6" x14ac:dyDescent="0.35">
      <c r="B65" s="40" t="s">
        <v>29</v>
      </c>
      <c r="C65" s="35" t="s">
        <v>76</v>
      </c>
      <c r="D65" s="35">
        <v>2</v>
      </c>
      <c r="E65" s="43">
        <f t="shared" si="0"/>
        <v>2.7777777777777777</v>
      </c>
      <c r="F65" s="18">
        <f t="shared" si="1"/>
        <v>93.055555555555543</v>
      </c>
    </row>
    <row r="66" spans="2:6" x14ac:dyDescent="0.35">
      <c r="B66" s="40" t="s">
        <v>134</v>
      </c>
      <c r="C66" s="35" t="s">
        <v>76</v>
      </c>
      <c r="D66" s="35">
        <v>2</v>
      </c>
      <c r="E66" s="43">
        <f t="shared" si="0"/>
        <v>2.7777777777777777</v>
      </c>
      <c r="F66" s="18">
        <f t="shared" si="1"/>
        <v>95.833333333333314</v>
      </c>
    </row>
    <row r="67" spans="2:6" x14ac:dyDescent="0.35">
      <c r="B67" s="40" t="s">
        <v>146</v>
      </c>
      <c r="C67" s="35" t="s">
        <v>75</v>
      </c>
      <c r="D67" s="35">
        <v>2</v>
      </c>
      <c r="E67" s="43">
        <f t="shared" si="0"/>
        <v>2.7777777777777777</v>
      </c>
      <c r="F67" s="18">
        <f t="shared" si="1"/>
        <v>98.611111111111086</v>
      </c>
    </row>
    <row r="68" spans="2:6" x14ac:dyDescent="0.35">
      <c r="B68" s="40" t="s">
        <v>109</v>
      </c>
      <c r="C68" s="35" t="s">
        <v>74</v>
      </c>
      <c r="D68" s="35">
        <v>1</v>
      </c>
      <c r="E68" s="43">
        <f t="shared" si="0"/>
        <v>1.3888888888888888</v>
      </c>
      <c r="F68" s="18">
        <f t="shared" si="1"/>
        <v>99.999999999999972</v>
      </c>
    </row>
    <row r="69" spans="2:6" x14ac:dyDescent="0.35">
      <c r="D69" s="27">
        <f>SUM(D48:D68)</f>
        <v>72</v>
      </c>
    </row>
    <row r="71" spans="2:6" x14ac:dyDescent="0.35">
      <c r="B71" s="27" t="s">
        <v>127</v>
      </c>
    </row>
    <row r="73" spans="2:6" hidden="1" x14ac:dyDescent="0.35"/>
    <row r="74" spans="2:6" hidden="1" x14ac:dyDescent="0.35"/>
    <row r="75" spans="2:6" hidden="1" x14ac:dyDescent="0.35"/>
    <row r="76" spans="2:6" hidden="1" x14ac:dyDescent="0.35"/>
    <row r="77" spans="2:6" hidden="1" x14ac:dyDescent="0.35"/>
    <row r="78" spans="2:6" hidden="1" x14ac:dyDescent="0.35"/>
    <row r="79" spans="2:6" hidden="1" x14ac:dyDescent="0.35"/>
    <row r="80" spans="2:6" hidden="1" x14ac:dyDescent="0.35"/>
    <row r="81" spans="2:6" hidden="1" x14ac:dyDescent="0.35"/>
    <row r="82" spans="2:6" hidden="1" x14ac:dyDescent="0.35"/>
    <row r="83" spans="2:6" ht="29" hidden="1" x14ac:dyDescent="0.35">
      <c r="B83" s="45" t="s">
        <v>0</v>
      </c>
      <c r="C83" s="45"/>
      <c r="D83" s="45" t="s">
        <v>1</v>
      </c>
      <c r="E83" s="46" t="s">
        <v>6</v>
      </c>
      <c r="F83" s="46" t="s">
        <v>7</v>
      </c>
    </row>
    <row r="84" spans="2:6" hidden="1" x14ac:dyDescent="0.35">
      <c r="B84" s="47" t="s">
        <v>29</v>
      </c>
      <c r="C84" s="47"/>
      <c r="D84" s="48">
        <v>1</v>
      </c>
      <c r="E84" s="49">
        <f>D84/$D$99*100</f>
        <v>8.3333333333333321</v>
      </c>
      <c r="F84" s="49">
        <f>E84</f>
        <v>8.3333333333333321</v>
      </c>
    </row>
    <row r="85" spans="2:6" hidden="1" x14ac:dyDescent="0.35">
      <c r="B85" s="47" t="s">
        <v>54</v>
      </c>
      <c r="C85" s="47"/>
      <c r="D85" s="48">
        <v>1</v>
      </c>
      <c r="E85" s="49">
        <f>D85/$D$99*100</f>
        <v>8.3333333333333321</v>
      </c>
      <c r="F85" s="49">
        <f>F84+E85</f>
        <v>16.666666666666664</v>
      </c>
    </row>
    <row r="86" spans="2:6" hidden="1" x14ac:dyDescent="0.35">
      <c r="B86" s="47" t="s">
        <v>28</v>
      </c>
      <c r="C86" s="47"/>
      <c r="D86" s="48">
        <v>1</v>
      </c>
      <c r="E86" s="49">
        <f>D86/$D$99*100</f>
        <v>8.3333333333333321</v>
      </c>
      <c r="F86" s="49">
        <f t="shared" ref="F86:F98" si="2">F85+E86</f>
        <v>24.999999999999996</v>
      </c>
    </row>
    <row r="87" spans="2:6" hidden="1" x14ac:dyDescent="0.35">
      <c r="B87" s="47" t="s">
        <v>5</v>
      </c>
      <c r="C87" s="47"/>
      <c r="D87" s="48">
        <v>1</v>
      </c>
      <c r="E87" s="49">
        <f>D87/$D$99*100</f>
        <v>8.3333333333333321</v>
      </c>
      <c r="F87" s="49">
        <f t="shared" si="2"/>
        <v>33.333333333333329</v>
      </c>
    </row>
    <row r="88" spans="2:6" hidden="1" x14ac:dyDescent="0.35">
      <c r="B88" s="47"/>
      <c r="C88" s="47"/>
      <c r="D88" s="48"/>
      <c r="E88" s="49"/>
      <c r="F88" s="49"/>
    </row>
    <row r="89" spans="2:6" hidden="1" x14ac:dyDescent="0.35">
      <c r="B89" s="47"/>
      <c r="C89" s="47"/>
      <c r="D89" s="48"/>
      <c r="E89" s="49"/>
      <c r="F89" s="49"/>
    </row>
    <row r="90" spans="2:6" hidden="1" x14ac:dyDescent="0.35">
      <c r="B90" s="47"/>
      <c r="C90" s="47"/>
      <c r="D90" s="48"/>
      <c r="E90" s="49"/>
      <c r="F90" s="49"/>
    </row>
    <row r="91" spans="2:6" hidden="1" x14ac:dyDescent="0.35">
      <c r="B91" s="47" t="s">
        <v>58</v>
      </c>
      <c r="C91" s="47"/>
      <c r="D91" s="48">
        <v>1</v>
      </c>
      <c r="E91" s="49">
        <f t="shared" ref="E91:E98" si="3">D91/$D$99*100</f>
        <v>8.3333333333333321</v>
      </c>
      <c r="F91" s="49">
        <f>F87+E91</f>
        <v>41.666666666666657</v>
      </c>
    </row>
    <row r="92" spans="2:6" hidden="1" x14ac:dyDescent="0.35">
      <c r="B92" s="47" t="s">
        <v>56</v>
      </c>
      <c r="C92" s="47"/>
      <c r="D92" s="48">
        <v>1</v>
      </c>
      <c r="E92" s="49">
        <f t="shared" si="3"/>
        <v>8.3333333333333321</v>
      </c>
      <c r="F92" s="49">
        <f t="shared" si="2"/>
        <v>49.999999999999986</v>
      </c>
    </row>
    <row r="93" spans="2:6" hidden="1" x14ac:dyDescent="0.35">
      <c r="B93" s="47" t="s">
        <v>62</v>
      </c>
      <c r="C93" s="47"/>
      <c r="D93" s="48">
        <v>1</v>
      </c>
      <c r="E93" s="49">
        <f t="shared" si="3"/>
        <v>8.3333333333333321</v>
      </c>
      <c r="F93" s="49">
        <f t="shared" si="2"/>
        <v>58.333333333333314</v>
      </c>
    </row>
    <row r="94" spans="2:6" hidden="1" x14ac:dyDescent="0.35">
      <c r="B94" s="47" t="s">
        <v>32</v>
      </c>
      <c r="C94" s="47"/>
      <c r="D94" s="48">
        <v>1</v>
      </c>
      <c r="E94" s="49">
        <f t="shared" si="3"/>
        <v>8.3333333333333321</v>
      </c>
      <c r="F94" s="49">
        <f t="shared" si="2"/>
        <v>66.666666666666643</v>
      </c>
    </row>
    <row r="95" spans="2:6" hidden="1" x14ac:dyDescent="0.35">
      <c r="B95" s="47" t="s">
        <v>61</v>
      </c>
      <c r="C95" s="47"/>
      <c r="D95" s="48">
        <v>1</v>
      </c>
      <c r="E95" s="49">
        <f t="shared" si="3"/>
        <v>8.3333333333333321</v>
      </c>
      <c r="F95" s="49">
        <f t="shared" si="2"/>
        <v>74.999999999999972</v>
      </c>
    </row>
    <row r="96" spans="2:6" hidden="1" x14ac:dyDescent="0.35">
      <c r="B96" s="47" t="s">
        <v>57</v>
      </c>
      <c r="C96" s="47"/>
      <c r="D96" s="48">
        <v>1</v>
      </c>
      <c r="E96" s="49">
        <f t="shared" si="3"/>
        <v>8.3333333333333321</v>
      </c>
      <c r="F96" s="49">
        <f t="shared" si="2"/>
        <v>83.3333333333333</v>
      </c>
    </row>
    <row r="97" spans="2:6" hidden="1" x14ac:dyDescent="0.35">
      <c r="B97" s="47" t="s">
        <v>59</v>
      </c>
      <c r="C97" s="47"/>
      <c r="D97" s="48">
        <v>1</v>
      </c>
      <c r="E97" s="49">
        <f t="shared" si="3"/>
        <v>8.3333333333333321</v>
      </c>
      <c r="F97" s="49">
        <f t="shared" si="2"/>
        <v>91.666666666666629</v>
      </c>
    </row>
    <row r="98" spans="2:6" hidden="1" x14ac:dyDescent="0.35">
      <c r="B98" s="47" t="s">
        <v>60</v>
      </c>
      <c r="C98" s="47"/>
      <c r="D98" s="48">
        <v>1</v>
      </c>
      <c r="E98" s="49">
        <f t="shared" si="3"/>
        <v>8.3333333333333321</v>
      </c>
      <c r="F98" s="49">
        <f t="shared" si="2"/>
        <v>99.999999999999957</v>
      </c>
    </row>
    <row r="99" spans="2:6" hidden="1" x14ac:dyDescent="0.35">
      <c r="B99" s="47" t="s">
        <v>63</v>
      </c>
      <c r="C99" s="50"/>
      <c r="D99" s="51">
        <f>SUM(D84:D98)</f>
        <v>12</v>
      </c>
      <c r="E99" s="51"/>
      <c r="F99" s="51"/>
    </row>
    <row r="100" spans="2:6" hidden="1" x14ac:dyDescent="0.35"/>
    <row r="101" spans="2:6" hidden="1" x14ac:dyDescent="0.35"/>
    <row r="102" spans="2:6" hidden="1" x14ac:dyDescent="0.35"/>
    <row r="103" spans="2:6" hidden="1" x14ac:dyDescent="0.35"/>
    <row r="104" spans="2:6" hidden="1" x14ac:dyDescent="0.35"/>
    <row r="105" spans="2:6" hidden="1" x14ac:dyDescent="0.35"/>
    <row r="106" spans="2:6" hidden="1" x14ac:dyDescent="0.35"/>
    <row r="107" spans="2:6" hidden="1" x14ac:dyDescent="0.35"/>
    <row r="108" spans="2:6" hidden="1" x14ac:dyDescent="0.35"/>
    <row r="109" spans="2:6" hidden="1" x14ac:dyDescent="0.35"/>
    <row r="110" spans="2:6" hidden="1" x14ac:dyDescent="0.35"/>
    <row r="111" spans="2:6" hidden="1" x14ac:dyDescent="0.35"/>
    <row r="112" spans="2:6" hidden="1" x14ac:dyDescent="0.35"/>
    <row r="113" spans="4:5" hidden="1" x14ac:dyDescent="0.35"/>
    <row r="114" spans="4:5" hidden="1" x14ac:dyDescent="0.35">
      <c r="D114" s="28" t="s">
        <v>52</v>
      </c>
      <c r="E114" s="28" t="s">
        <v>39</v>
      </c>
    </row>
    <row r="115" spans="4:5" hidden="1" x14ac:dyDescent="0.35">
      <c r="D115" s="60" t="s">
        <v>36</v>
      </c>
      <c r="E115" s="61">
        <f>SUM(E5:E6)</f>
        <v>11</v>
      </c>
    </row>
    <row r="116" spans="4:5" hidden="1" x14ac:dyDescent="0.35">
      <c r="D116" s="60" t="s">
        <v>50</v>
      </c>
      <c r="E116" s="61">
        <f>SUM(E13:E19)</f>
        <v>26</v>
      </c>
    </row>
    <row r="117" spans="4:5" hidden="1" x14ac:dyDescent="0.35">
      <c r="D117" s="60" t="s">
        <v>51</v>
      </c>
      <c r="E117" s="61">
        <v>21</v>
      </c>
    </row>
    <row r="118" spans="4:5" hidden="1" x14ac:dyDescent="0.35">
      <c r="D118" s="60" t="s">
        <v>55</v>
      </c>
      <c r="E118" s="61">
        <v>4</v>
      </c>
    </row>
    <row r="119" spans="4:5" hidden="1" x14ac:dyDescent="0.35">
      <c r="D119" s="61" t="s">
        <v>65</v>
      </c>
      <c r="E119" s="61">
        <f>SUM(E115:E118)</f>
        <v>62</v>
      </c>
    </row>
    <row r="120" spans="4:5" hidden="1" x14ac:dyDescent="0.35"/>
    <row r="121" spans="4:5" hidden="1" x14ac:dyDescent="0.35"/>
    <row r="122" spans="4:5" hidden="1" x14ac:dyDescent="0.35"/>
    <row r="123" spans="4:5" hidden="1" x14ac:dyDescent="0.35"/>
    <row r="124" spans="4:5" hidden="1" x14ac:dyDescent="0.35"/>
    <row r="125" spans="4:5" hidden="1" x14ac:dyDescent="0.35"/>
    <row r="126" spans="4:5" hidden="1" x14ac:dyDescent="0.35"/>
    <row r="127" spans="4:5" hidden="1" x14ac:dyDescent="0.35"/>
    <row r="128" spans="4:5" hidden="1" x14ac:dyDescent="0.35"/>
    <row r="129" hidden="1" x14ac:dyDescent="0.35"/>
    <row r="130" hidden="1" x14ac:dyDescent="0.35"/>
    <row r="131" hidden="1" x14ac:dyDescent="0.35"/>
    <row r="132" hidden="1" x14ac:dyDescent="0.35"/>
    <row r="133" hidden="1" x14ac:dyDescent="0.35"/>
    <row r="134" hidden="1" x14ac:dyDescent="0.35"/>
    <row r="135" hidden="1" x14ac:dyDescent="0.35"/>
    <row r="136" hidden="1" x14ac:dyDescent="0.35"/>
    <row r="137" hidden="1" x14ac:dyDescent="0.35"/>
    <row r="138" hidden="1" x14ac:dyDescent="0.35"/>
    <row r="139" hidden="1" x14ac:dyDescent="0.35"/>
    <row r="140" hidden="1" x14ac:dyDescent="0.35"/>
    <row r="141" hidden="1" x14ac:dyDescent="0.35"/>
    <row r="142" hidden="1" x14ac:dyDescent="0.35"/>
    <row r="143" hidden="1" x14ac:dyDescent="0.35"/>
    <row r="144" hidden="1" x14ac:dyDescent="0.35"/>
    <row r="145" hidden="1" x14ac:dyDescent="0.35"/>
    <row r="146" hidden="1" x14ac:dyDescent="0.35"/>
    <row r="147" hidden="1" x14ac:dyDescent="0.35"/>
    <row r="148" hidden="1" x14ac:dyDescent="0.35"/>
    <row r="149" hidden="1" x14ac:dyDescent="0.35"/>
    <row r="150" hidden="1" x14ac:dyDescent="0.35"/>
    <row r="151" hidden="1" x14ac:dyDescent="0.35"/>
    <row r="152" hidden="1" x14ac:dyDescent="0.35"/>
    <row r="153" hidden="1" x14ac:dyDescent="0.35"/>
    <row r="154" hidden="1" x14ac:dyDescent="0.35"/>
    <row r="155" hidden="1" x14ac:dyDescent="0.35"/>
    <row r="156" hidden="1" x14ac:dyDescent="0.35"/>
    <row r="157" hidden="1" x14ac:dyDescent="0.35"/>
    <row r="158" hidden="1" x14ac:dyDescent="0.35"/>
    <row r="159" hidden="1" x14ac:dyDescent="0.35"/>
    <row r="160" hidden="1" x14ac:dyDescent="0.35"/>
    <row r="161" hidden="1" x14ac:dyDescent="0.35"/>
    <row r="162" hidden="1" x14ac:dyDescent="0.35"/>
    <row r="163" hidden="1" x14ac:dyDescent="0.35"/>
    <row r="164" hidden="1" x14ac:dyDescent="0.35"/>
    <row r="165" hidden="1" x14ac:dyDescent="0.35"/>
    <row r="166" hidden="1" x14ac:dyDescent="0.35"/>
  </sheetData>
  <sortState xmlns:xlrd2="http://schemas.microsoft.com/office/spreadsheetml/2017/richdata2" ref="O4:P7">
    <sortCondition descending="1" ref="P4"/>
  </sortState>
  <pageMargins left="0.7" right="0.7" top="0.75" bottom="0.75" header="0.3" footer="0.3"/>
  <pageSetup paperSize="9"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C6:G28"/>
  <sheetViews>
    <sheetView topLeftCell="A7" zoomScaleNormal="100" workbookViewId="0">
      <selection activeCell="G9" sqref="G9"/>
    </sheetView>
  </sheetViews>
  <sheetFormatPr defaultColWidth="9.08984375" defaultRowHeight="14.5" x14ac:dyDescent="0.35"/>
  <cols>
    <col min="1" max="2" width="9.08984375" style="7"/>
    <col min="3" max="3" width="6.08984375" style="7" customWidth="1"/>
    <col min="4" max="4" width="34" style="39" bestFit="1" customWidth="1"/>
    <col min="5" max="16384" width="9.08984375" style="7"/>
  </cols>
  <sheetData>
    <row r="6" spans="3:4" x14ac:dyDescent="0.35">
      <c r="C6" s="7">
        <v>9</v>
      </c>
      <c r="D6" s="39" t="s">
        <v>78</v>
      </c>
    </row>
    <row r="7" spans="3:4" x14ac:dyDescent="0.35">
      <c r="C7" s="7">
        <v>9</v>
      </c>
      <c r="D7" s="44" t="s">
        <v>111</v>
      </c>
    </row>
    <row r="8" spans="3:4" x14ac:dyDescent="0.35">
      <c r="C8" s="7">
        <v>8</v>
      </c>
      <c r="D8" s="39" t="s">
        <v>77</v>
      </c>
    </row>
    <row r="9" spans="3:4" x14ac:dyDescent="0.35">
      <c r="C9" s="7">
        <v>8</v>
      </c>
      <c r="D9" s="39" t="s">
        <v>152</v>
      </c>
    </row>
    <row r="10" spans="3:4" x14ac:dyDescent="0.35">
      <c r="C10" s="7">
        <v>7</v>
      </c>
      <c r="D10" s="39" t="s">
        <v>79</v>
      </c>
    </row>
    <row r="11" spans="3:4" x14ac:dyDescent="0.35">
      <c r="C11" s="7">
        <v>7</v>
      </c>
      <c r="D11" s="39" t="s">
        <v>29</v>
      </c>
    </row>
    <row r="12" spans="3:4" x14ac:dyDescent="0.35">
      <c r="C12" s="7">
        <v>6</v>
      </c>
      <c r="D12" s="39" t="s">
        <v>66</v>
      </c>
    </row>
    <row r="13" spans="3:4" x14ac:dyDescent="0.35">
      <c r="C13" s="7">
        <v>6</v>
      </c>
      <c r="D13" s="39" t="s">
        <v>108</v>
      </c>
    </row>
    <row r="14" spans="3:4" x14ac:dyDescent="0.35">
      <c r="C14" s="7">
        <v>6</v>
      </c>
      <c r="D14" s="39" t="s">
        <v>54</v>
      </c>
    </row>
    <row r="15" spans="3:4" x14ac:dyDescent="0.35">
      <c r="C15" s="7">
        <v>5</v>
      </c>
      <c r="D15" s="44" t="s">
        <v>4</v>
      </c>
    </row>
    <row r="16" spans="3:4" x14ac:dyDescent="0.35">
      <c r="C16" s="7">
        <v>5</v>
      </c>
      <c r="D16" s="39" t="s">
        <v>150</v>
      </c>
    </row>
    <row r="17" spans="3:7" x14ac:dyDescent="0.35">
      <c r="C17" s="7">
        <v>4</v>
      </c>
      <c r="D17" s="39" t="s">
        <v>5</v>
      </c>
    </row>
    <row r="18" spans="3:7" x14ac:dyDescent="0.35">
      <c r="C18" s="7">
        <v>4</v>
      </c>
      <c r="D18" s="39" t="s">
        <v>151</v>
      </c>
      <c r="G18" s="7" t="s">
        <v>127</v>
      </c>
    </row>
    <row r="19" spans="3:7" x14ac:dyDescent="0.35">
      <c r="C19" s="7">
        <v>4</v>
      </c>
      <c r="D19" s="39" t="s">
        <v>32</v>
      </c>
      <c r="G19" s="7" t="s">
        <v>127</v>
      </c>
    </row>
    <row r="20" spans="3:7" x14ac:dyDescent="0.35">
      <c r="C20" s="7">
        <v>4</v>
      </c>
      <c r="D20" s="39" t="s">
        <v>56</v>
      </c>
    </row>
    <row r="21" spans="3:7" x14ac:dyDescent="0.35">
      <c r="C21" s="7">
        <v>3</v>
      </c>
      <c r="D21" s="39" t="s">
        <v>148</v>
      </c>
    </row>
    <row r="22" spans="3:7" x14ac:dyDescent="0.35">
      <c r="C22" s="7">
        <v>3</v>
      </c>
      <c r="D22" s="39" t="s">
        <v>134</v>
      </c>
    </row>
    <row r="23" spans="3:7" x14ac:dyDescent="0.35">
      <c r="C23" s="7">
        <v>3</v>
      </c>
      <c r="D23" s="44" t="s">
        <v>131</v>
      </c>
    </row>
    <row r="24" spans="3:7" x14ac:dyDescent="0.35">
      <c r="C24" s="7">
        <v>3</v>
      </c>
      <c r="D24" s="39" t="s">
        <v>136</v>
      </c>
    </row>
    <row r="25" spans="3:7" x14ac:dyDescent="0.35">
      <c r="C25" s="7">
        <v>2</v>
      </c>
      <c r="D25" s="39" t="s">
        <v>81</v>
      </c>
    </row>
    <row r="26" spans="3:7" x14ac:dyDescent="0.35">
      <c r="C26" s="7">
        <v>2</v>
      </c>
      <c r="D26" s="39" t="s">
        <v>149</v>
      </c>
    </row>
    <row r="27" spans="3:7" x14ac:dyDescent="0.35">
      <c r="C27" s="7">
        <v>2</v>
      </c>
      <c r="D27" s="39" t="s">
        <v>135</v>
      </c>
    </row>
    <row r="28" spans="3:7" x14ac:dyDescent="0.35">
      <c r="C28" s="7">
        <v>2</v>
      </c>
      <c r="D28" s="39" t="s">
        <v>81</v>
      </c>
    </row>
  </sheetData>
  <sortState xmlns:xlrd2="http://schemas.microsoft.com/office/spreadsheetml/2017/richdata2" ref="C6:D28">
    <sortCondition descending="1" ref="C6:C28"/>
  </sortState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N286"/>
  <sheetViews>
    <sheetView tabSelected="1" zoomScale="85" zoomScaleNormal="85" workbookViewId="0">
      <selection activeCell="I7" sqref="I7"/>
    </sheetView>
  </sheetViews>
  <sheetFormatPr defaultColWidth="22.54296875" defaultRowHeight="14.5" x14ac:dyDescent="0.35"/>
  <cols>
    <col min="1" max="1" width="3.36328125" style="8" customWidth="1"/>
    <col min="2" max="2" width="29.90625" style="8" customWidth="1"/>
    <col min="3" max="3" width="11.08984375" style="8" customWidth="1"/>
    <col min="4" max="4" width="13.08984375" style="8" customWidth="1"/>
    <col min="5" max="8" width="11.6328125" style="8" customWidth="1"/>
    <col min="9" max="9" width="40.453125" style="8" bestFit="1" customWidth="1"/>
    <col min="10" max="10" width="12.08984375" style="8" customWidth="1"/>
    <col min="11" max="11" width="11.6328125" style="8" customWidth="1"/>
    <col min="12" max="12" width="9.36328125" style="8" bestFit="1" customWidth="1"/>
    <col min="13" max="16384" width="22.54296875" style="8"/>
  </cols>
  <sheetData>
    <row r="1" spans="2:14" ht="15" customHeight="1" x14ac:dyDescent="0.35">
      <c r="B1" s="69" t="s">
        <v>25</v>
      </c>
      <c r="C1" s="70"/>
      <c r="D1" s="70"/>
      <c r="E1" s="70"/>
      <c r="F1" s="70"/>
      <c r="G1" s="70"/>
      <c r="H1" s="70"/>
      <c r="I1" s="70"/>
      <c r="J1" s="70"/>
      <c r="K1" s="70"/>
      <c r="L1" s="70"/>
      <c r="M1" s="71"/>
    </row>
    <row r="2" spans="2:14" ht="15.75" customHeight="1" thickBot="1" x14ac:dyDescent="0.4">
      <c r="B2" s="72"/>
      <c r="C2" s="73"/>
      <c r="D2" s="73"/>
      <c r="E2" s="73"/>
      <c r="F2" s="73"/>
      <c r="G2" s="73"/>
      <c r="H2" s="73"/>
      <c r="I2" s="73"/>
      <c r="J2" s="73"/>
      <c r="K2" s="73"/>
      <c r="L2" s="73"/>
      <c r="M2" s="74"/>
    </row>
    <row r="3" spans="2:14" ht="15" customHeight="1" x14ac:dyDescent="0.35">
      <c r="B3" s="6"/>
      <c r="C3" s="6"/>
      <c r="D3" s="6"/>
      <c r="F3" s="3"/>
    </row>
    <row r="4" spans="2:14" ht="18.5" x14ac:dyDescent="0.35">
      <c r="B4" s="11" t="s">
        <v>12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</row>
    <row r="5" spans="2:14" ht="15" customHeight="1" x14ac:dyDescent="0.35">
      <c r="B5" s="6"/>
      <c r="C5" s="6"/>
      <c r="D5" s="6"/>
      <c r="F5" s="3"/>
    </row>
    <row r="6" spans="2:14" ht="15" customHeight="1" x14ac:dyDescent="0.35">
      <c r="B6" s="15" t="s">
        <v>72</v>
      </c>
      <c r="C6" s="66" t="s">
        <v>10</v>
      </c>
      <c r="D6" s="66"/>
      <c r="E6" s="66"/>
      <c r="F6" s="66" t="s">
        <v>11</v>
      </c>
      <c r="G6" s="66"/>
    </row>
    <row r="7" spans="2:14" ht="15" customHeight="1" x14ac:dyDescent="0.35">
      <c r="B7" s="1">
        <v>148</v>
      </c>
      <c r="C7" s="67">
        <f>B7/7</f>
        <v>21.142857142857142</v>
      </c>
      <c r="D7" s="67"/>
      <c r="E7" s="67"/>
      <c r="F7" s="68">
        <f>C7/3</f>
        <v>7.0476190476190474</v>
      </c>
      <c r="G7" s="68"/>
    </row>
    <row r="8" spans="2:14" ht="15" customHeight="1" x14ac:dyDescent="0.35">
      <c r="B8" s="6"/>
      <c r="C8" s="6"/>
      <c r="D8" s="6"/>
      <c r="F8" s="3"/>
    </row>
    <row r="9" spans="2:14" ht="15" customHeight="1" x14ac:dyDescent="0.35">
      <c r="B9" s="6"/>
      <c r="C9" s="6"/>
      <c r="D9" s="6"/>
      <c r="F9" s="3"/>
    </row>
    <row r="10" spans="2:14" ht="15" customHeight="1" x14ac:dyDescent="0.35">
      <c r="B10" s="15" t="s">
        <v>21</v>
      </c>
      <c r="C10" s="15" t="s">
        <v>20</v>
      </c>
      <c r="D10" s="7"/>
      <c r="F10" s="3"/>
    </row>
    <row r="11" spans="2:14" s="7" customFormat="1" ht="15" customHeight="1" x14ac:dyDescent="0.35">
      <c r="B11" s="1" t="s">
        <v>2</v>
      </c>
      <c r="C11" s="22">
        <v>3</v>
      </c>
      <c r="D11" s="31"/>
    </row>
    <row r="12" spans="2:14" s="7" customFormat="1" ht="15" customHeight="1" x14ac:dyDescent="0.35">
      <c r="B12" s="1" t="s">
        <v>3</v>
      </c>
      <c r="C12" s="22">
        <v>1</v>
      </c>
      <c r="D12" s="31"/>
    </row>
    <row r="13" spans="2:14" s="7" customFormat="1" ht="15" customHeight="1" x14ac:dyDescent="0.35">
      <c r="B13" s="1" t="s">
        <v>27</v>
      </c>
      <c r="C13" s="22">
        <v>3</v>
      </c>
      <c r="D13" s="31"/>
    </row>
    <row r="14" spans="2:14" s="7" customFormat="1" ht="15" customHeight="1" x14ac:dyDescent="0.35">
      <c r="B14" s="1" t="s">
        <v>26</v>
      </c>
      <c r="C14" s="22">
        <v>4</v>
      </c>
      <c r="D14" s="31"/>
    </row>
    <row r="15" spans="2:14" s="7" customFormat="1" ht="15" customHeight="1" x14ac:dyDescent="0.35">
      <c r="B15" s="1" t="s">
        <v>128</v>
      </c>
      <c r="C15" s="22"/>
      <c r="D15" s="31"/>
    </row>
    <row r="16" spans="2:14" s="7" customFormat="1" ht="15" customHeight="1" x14ac:dyDescent="0.35">
      <c r="B16" s="1" t="s">
        <v>129</v>
      </c>
      <c r="C16" s="22">
        <v>5</v>
      </c>
      <c r="D16" s="31"/>
    </row>
    <row r="17" spans="2:14" s="7" customFormat="1" ht="15" customHeight="1" x14ac:dyDescent="0.35">
      <c r="B17" s="1" t="s">
        <v>22</v>
      </c>
      <c r="C17" s="22">
        <v>7</v>
      </c>
      <c r="D17" s="31"/>
    </row>
    <row r="18" spans="2:14" s="7" customFormat="1" ht="15" customHeight="1" x14ac:dyDescent="0.35">
      <c r="B18" s="1" t="s">
        <v>123</v>
      </c>
      <c r="C18" s="22">
        <v>1</v>
      </c>
      <c r="D18" s="31"/>
    </row>
    <row r="19" spans="2:14" s="7" customFormat="1" ht="15" customHeight="1" x14ac:dyDescent="0.35">
      <c r="B19" s="1" t="s">
        <v>33</v>
      </c>
      <c r="C19" s="22">
        <v>2</v>
      </c>
      <c r="D19" s="31"/>
    </row>
    <row r="20" spans="2:14" s="7" customFormat="1" ht="15" customHeight="1" x14ac:dyDescent="0.35">
      <c r="B20" s="1" t="s">
        <v>31</v>
      </c>
      <c r="C20" s="22">
        <v>3</v>
      </c>
      <c r="D20" s="31"/>
    </row>
    <row r="21" spans="2:14" s="7" customFormat="1" ht="15" customHeight="1" x14ac:dyDescent="0.35">
      <c r="B21" s="1" t="s">
        <v>124</v>
      </c>
      <c r="C21" s="22"/>
      <c r="D21" s="31"/>
    </row>
    <row r="22" spans="2:14" s="7" customFormat="1" ht="15" customHeight="1" x14ac:dyDescent="0.35">
      <c r="B22" s="1" t="s">
        <v>122</v>
      </c>
      <c r="C22" s="22">
        <v>2</v>
      </c>
      <c r="D22" s="31"/>
    </row>
    <row r="23" spans="2:14" s="7" customFormat="1" ht="15" customHeight="1" x14ac:dyDescent="0.35">
      <c r="B23" s="1" t="s">
        <v>120</v>
      </c>
      <c r="C23" s="22">
        <v>3</v>
      </c>
      <c r="D23" s="31"/>
    </row>
    <row r="24" spans="2:14" s="7" customFormat="1" ht="15" customHeight="1" x14ac:dyDescent="0.35"/>
    <row r="25" spans="2:14" s="7" customFormat="1" ht="15" customHeight="1" x14ac:dyDescent="0.35"/>
    <row r="26" spans="2:14" s="7" customFormat="1" ht="15" customHeight="1" x14ac:dyDescent="0.35"/>
    <row r="27" spans="2:14" s="7" customFormat="1" ht="15" customHeight="1" x14ac:dyDescent="0.35"/>
    <row r="28" spans="2:14" s="7" customFormat="1" ht="15" customHeight="1" x14ac:dyDescent="0.35"/>
    <row r="29" spans="2:14" s="7" customFormat="1" ht="15" customHeight="1" x14ac:dyDescent="0.35"/>
    <row r="30" spans="2:14" ht="15" customHeight="1" x14ac:dyDescent="0.35">
      <c r="B30" s="7"/>
      <c r="C30" s="7"/>
      <c r="D30" s="7"/>
    </row>
    <row r="31" spans="2:14" ht="15" customHeight="1" x14ac:dyDescent="0.35">
      <c r="B31" s="7"/>
      <c r="C31" s="7"/>
      <c r="D31" s="7"/>
      <c r="H31" s="8" t="s">
        <v>127</v>
      </c>
    </row>
    <row r="32" spans="2:14" ht="18.5" x14ac:dyDescent="0.35">
      <c r="B32" s="11" t="s">
        <v>9</v>
      </c>
      <c r="C32" s="10"/>
      <c r="D32" s="10"/>
      <c r="E32" s="10"/>
      <c r="F32" s="10"/>
      <c r="G32" s="10"/>
      <c r="H32" s="37"/>
      <c r="I32" s="37"/>
      <c r="J32" s="10"/>
      <c r="K32" s="10"/>
      <c r="L32" s="10"/>
      <c r="M32" s="10"/>
      <c r="N32" s="10"/>
    </row>
    <row r="33" spans="2:6" ht="15.5" x14ac:dyDescent="0.35">
      <c r="B33" s="9"/>
      <c r="C33" s="2"/>
      <c r="D33" s="2"/>
    </row>
    <row r="34" spans="2:6" ht="29" x14ac:dyDescent="0.35">
      <c r="B34" s="16" t="s">
        <v>101</v>
      </c>
      <c r="C34" s="33" t="s">
        <v>102</v>
      </c>
      <c r="D34" s="34" t="s">
        <v>103</v>
      </c>
      <c r="E34" s="17" t="s">
        <v>6</v>
      </c>
      <c r="F34" s="17" t="s">
        <v>104</v>
      </c>
    </row>
    <row r="35" spans="2:6" x14ac:dyDescent="0.35">
      <c r="B35" s="40" t="s">
        <v>78</v>
      </c>
      <c r="C35" s="1">
        <v>9</v>
      </c>
      <c r="D35" s="63" t="s">
        <v>76</v>
      </c>
      <c r="E35" s="18">
        <f t="shared" ref="E35:E56" si="0">C35/$C$57*100</f>
        <v>8.1818181818181817</v>
      </c>
      <c r="F35" s="18">
        <f>E35</f>
        <v>8.1818181818181817</v>
      </c>
    </row>
    <row r="36" spans="2:6" x14ac:dyDescent="0.35">
      <c r="B36" s="40" t="s">
        <v>111</v>
      </c>
      <c r="C36" s="1">
        <v>9</v>
      </c>
      <c r="D36" s="63" t="s">
        <v>75</v>
      </c>
      <c r="E36" s="18">
        <f t="shared" si="0"/>
        <v>8.1818181818181817</v>
      </c>
      <c r="F36" s="18">
        <f>F35+E36</f>
        <v>16.363636363636363</v>
      </c>
    </row>
    <row r="37" spans="2:6" x14ac:dyDescent="0.35">
      <c r="B37" s="40" t="s">
        <v>77</v>
      </c>
      <c r="C37" s="1">
        <v>8</v>
      </c>
      <c r="D37" s="63" t="s">
        <v>76</v>
      </c>
      <c r="E37" s="18">
        <f t="shared" si="0"/>
        <v>7.2727272727272725</v>
      </c>
      <c r="F37" s="18">
        <f t="shared" ref="F37:F56" si="1">F36+E37</f>
        <v>23.636363636363637</v>
      </c>
    </row>
    <row r="38" spans="2:6" x14ac:dyDescent="0.35">
      <c r="B38" s="40" t="s">
        <v>152</v>
      </c>
      <c r="C38" s="1">
        <v>8</v>
      </c>
      <c r="D38" s="63" t="s">
        <v>76</v>
      </c>
      <c r="E38" s="18">
        <f t="shared" si="0"/>
        <v>7.2727272727272725</v>
      </c>
      <c r="F38" s="18">
        <f t="shared" si="1"/>
        <v>30.90909090909091</v>
      </c>
    </row>
    <row r="39" spans="2:6" x14ac:dyDescent="0.35">
      <c r="B39" s="40" t="s">
        <v>79</v>
      </c>
      <c r="C39" s="1">
        <v>7</v>
      </c>
      <c r="D39" s="63" t="s">
        <v>76</v>
      </c>
      <c r="E39" s="18">
        <f t="shared" si="0"/>
        <v>6.3636363636363633</v>
      </c>
      <c r="F39" s="18">
        <f t="shared" si="1"/>
        <v>37.272727272727273</v>
      </c>
    </row>
    <row r="40" spans="2:6" x14ac:dyDescent="0.35">
      <c r="B40" s="40" t="s">
        <v>29</v>
      </c>
      <c r="C40" s="1">
        <v>7</v>
      </c>
      <c r="D40" s="63" t="s">
        <v>76</v>
      </c>
      <c r="E40" s="18">
        <f t="shared" si="0"/>
        <v>6.3636363636363633</v>
      </c>
      <c r="F40" s="18">
        <f t="shared" si="1"/>
        <v>43.63636363636364</v>
      </c>
    </row>
    <row r="41" spans="2:6" x14ac:dyDescent="0.35">
      <c r="B41" s="40" t="s">
        <v>66</v>
      </c>
      <c r="C41" s="1">
        <v>6</v>
      </c>
      <c r="D41" s="63" t="s">
        <v>74</v>
      </c>
      <c r="E41" s="18">
        <f t="shared" si="0"/>
        <v>5.4545454545454541</v>
      </c>
      <c r="F41" s="18">
        <f t="shared" si="1"/>
        <v>49.090909090909093</v>
      </c>
    </row>
    <row r="42" spans="2:6" ht="14.4" customHeight="1" x14ac:dyDescent="0.35">
      <c r="B42" s="40" t="s">
        <v>108</v>
      </c>
      <c r="C42" s="1">
        <v>6</v>
      </c>
      <c r="D42" s="63" t="s">
        <v>76</v>
      </c>
      <c r="E42" s="18">
        <f t="shared" si="0"/>
        <v>5.4545454545454541</v>
      </c>
      <c r="F42" s="18">
        <f t="shared" si="1"/>
        <v>54.545454545454547</v>
      </c>
    </row>
    <row r="43" spans="2:6" ht="14.4" customHeight="1" x14ac:dyDescent="0.35">
      <c r="B43" s="41" t="s">
        <v>54</v>
      </c>
      <c r="C43" s="1">
        <v>6</v>
      </c>
      <c r="D43" s="63" t="s">
        <v>75</v>
      </c>
      <c r="E43" s="18">
        <f t="shared" si="0"/>
        <v>5.4545454545454541</v>
      </c>
      <c r="F43" s="18">
        <f t="shared" si="1"/>
        <v>60</v>
      </c>
    </row>
    <row r="44" spans="2:6" ht="14.4" customHeight="1" x14ac:dyDescent="0.35">
      <c r="B44" s="40" t="s">
        <v>4</v>
      </c>
      <c r="C44" s="1">
        <v>5</v>
      </c>
      <c r="D44" s="63" t="s">
        <v>76</v>
      </c>
      <c r="E44" s="18">
        <f t="shared" si="0"/>
        <v>4.5454545454545459</v>
      </c>
      <c r="F44" s="18">
        <f t="shared" si="1"/>
        <v>64.545454545454547</v>
      </c>
    </row>
    <row r="45" spans="2:6" ht="14.4" customHeight="1" x14ac:dyDescent="0.35">
      <c r="B45" s="40" t="s">
        <v>150</v>
      </c>
      <c r="C45" s="1">
        <v>5</v>
      </c>
      <c r="D45" s="63" t="s">
        <v>76</v>
      </c>
      <c r="E45" s="18">
        <f t="shared" si="0"/>
        <v>4.5454545454545459</v>
      </c>
      <c r="F45" s="18">
        <f t="shared" si="1"/>
        <v>69.090909090909093</v>
      </c>
    </row>
    <row r="46" spans="2:6" ht="14.4" customHeight="1" x14ac:dyDescent="0.35">
      <c r="B46" s="40" t="s">
        <v>5</v>
      </c>
      <c r="C46" s="1">
        <v>4</v>
      </c>
      <c r="D46" s="19" t="s">
        <v>75</v>
      </c>
      <c r="E46" s="18">
        <f t="shared" si="0"/>
        <v>3.6363636363636362</v>
      </c>
      <c r="F46" s="18">
        <f t="shared" si="1"/>
        <v>72.727272727272734</v>
      </c>
    </row>
    <row r="47" spans="2:6" ht="14.4" customHeight="1" x14ac:dyDescent="0.35">
      <c r="B47" s="40" t="s">
        <v>151</v>
      </c>
      <c r="C47" s="1">
        <v>4</v>
      </c>
      <c r="D47" s="19" t="s">
        <v>75</v>
      </c>
      <c r="E47" s="18">
        <f t="shared" si="0"/>
        <v>3.6363636363636362</v>
      </c>
      <c r="F47" s="18">
        <f t="shared" si="1"/>
        <v>76.363636363636374</v>
      </c>
    </row>
    <row r="48" spans="2:6" ht="14.4" customHeight="1" x14ac:dyDescent="0.35">
      <c r="B48" s="40" t="s">
        <v>32</v>
      </c>
      <c r="C48" s="1">
        <v>4</v>
      </c>
      <c r="D48" s="19" t="s">
        <v>75</v>
      </c>
      <c r="E48" s="18">
        <f t="shared" si="0"/>
        <v>3.6363636363636362</v>
      </c>
      <c r="F48" s="18">
        <f t="shared" si="1"/>
        <v>80.000000000000014</v>
      </c>
    </row>
    <row r="49" spans="2:14" ht="14.4" customHeight="1" x14ac:dyDescent="0.35">
      <c r="B49" s="40" t="s">
        <v>56</v>
      </c>
      <c r="C49" s="1">
        <v>4</v>
      </c>
      <c r="D49" s="19" t="s">
        <v>75</v>
      </c>
      <c r="E49" s="18">
        <f t="shared" si="0"/>
        <v>3.6363636363636362</v>
      </c>
      <c r="F49" s="18">
        <f t="shared" si="1"/>
        <v>83.636363636363654</v>
      </c>
    </row>
    <row r="50" spans="2:14" ht="14.4" customHeight="1" x14ac:dyDescent="0.35">
      <c r="B50" s="40" t="s">
        <v>148</v>
      </c>
      <c r="C50" s="1">
        <v>3</v>
      </c>
      <c r="D50" s="19" t="s">
        <v>75</v>
      </c>
      <c r="E50" s="18">
        <f t="shared" si="0"/>
        <v>2.7272727272727271</v>
      </c>
      <c r="F50" s="18">
        <f t="shared" si="1"/>
        <v>86.363636363636388</v>
      </c>
    </row>
    <row r="51" spans="2:14" ht="14.4" customHeight="1" x14ac:dyDescent="0.35">
      <c r="B51" s="40" t="s">
        <v>134</v>
      </c>
      <c r="C51" s="1">
        <v>3</v>
      </c>
      <c r="D51" s="19" t="s">
        <v>76</v>
      </c>
      <c r="E51" s="18">
        <f t="shared" si="0"/>
        <v>2.7272727272727271</v>
      </c>
      <c r="F51" s="18">
        <f t="shared" si="1"/>
        <v>89.090909090909122</v>
      </c>
    </row>
    <row r="52" spans="2:14" ht="14.4" customHeight="1" x14ac:dyDescent="0.35">
      <c r="B52" s="40" t="s">
        <v>131</v>
      </c>
      <c r="C52" s="1">
        <v>3</v>
      </c>
      <c r="D52" s="19" t="s">
        <v>75</v>
      </c>
      <c r="E52" s="18">
        <f t="shared" si="0"/>
        <v>2.7272727272727271</v>
      </c>
      <c r="F52" s="18">
        <f t="shared" si="1"/>
        <v>91.818181818181856</v>
      </c>
    </row>
    <row r="53" spans="2:14" ht="14.4" customHeight="1" x14ac:dyDescent="0.35">
      <c r="B53" s="40" t="s">
        <v>136</v>
      </c>
      <c r="C53" s="1">
        <v>3</v>
      </c>
      <c r="D53" s="19" t="s">
        <v>76</v>
      </c>
      <c r="E53" s="18">
        <f t="shared" si="0"/>
        <v>2.7272727272727271</v>
      </c>
      <c r="F53" s="18">
        <f t="shared" si="1"/>
        <v>94.545454545454589</v>
      </c>
    </row>
    <row r="54" spans="2:14" ht="14.4" customHeight="1" x14ac:dyDescent="0.35">
      <c r="B54" s="40" t="s">
        <v>81</v>
      </c>
      <c r="C54" s="1">
        <v>2</v>
      </c>
      <c r="D54" s="19" t="s">
        <v>74</v>
      </c>
      <c r="E54" s="18">
        <f t="shared" si="0"/>
        <v>1.8181818181818181</v>
      </c>
      <c r="F54" s="18">
        <f t="shared" si="1"/>
        <v>96.363636363636402</v>
      </c>
    </row>
    <row r="55" spans="2:14" ht="14.4" customHeight="1" x14ac:dyDescent="0.35">
      <c r="B55" s="40" t="s">
        <v>149</v>
      </c>
      <c r="C55" s="1">
        <v>2</v>
      </c>
      <c r="D55" s="19" t="s">
        <v>75</v>
      </c>
      <c r="E55" s="18">
        <f t="shared" si="0"/>
        <v>1.8181818181818181</v>
      </c>
      <c r="F55" s="18">
        <f t="shared" si="1"/>
        <v>98.181818181818215</v>
      </c>
    </row>
    <row r="56" spans="2:14" ht="14.4" customHeight="1" x14ac:dyDescent="0.35">
      <c r="B56" s="40" t="s">
        <v>135</v>
      </c>
      <c r="C56" s="1">
        <v>2</v>
      </c>
      <c r="D56" s="19" t="s">
        <v>75</v>
      </c>
      <c r="E56" s="18">
        <f t="shared" si="0"/>
        <v>1.8181818181818181</v>
      </c>
      <c r="F56" s="18">
        <f t="shared" si="1"/>
        <v>100.00000000000003</v>
      </c>
    </row>
    <row r="57" spans="2:14" x14ac:dyDescent="0.35">
      <c r="B57" s="12"/>
      <c r="C57" s="13">
        <f>SUM(C35:C56)</f>
        <v>110</v>
      </c>
      <c r="D57" s="13"/>
      <c r="E57" s="14"/>
      <c r="F57" s="14"/>
    </row>
    <row r="58" spans="2:14" ht="18.5" hidden="1" x14ac:dyDescent="0.35">
      <c r="B58" s="11" t="s">
        <v>16</v>
      </c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</row>
    <row r="59" spans="2:14" ht="15.5" hidden="1" x14ac:dyDescent="0.35">
      <c r="B59" s="9"/>
      <c r="C59" s="2"/>
      <c r="D59" s="2"/>
    </row>
    <row r="60" spans="2:14" ht="29" hidden="1" x14ac:dyDescent="0.35">
      <c r="B60" s="45" t="s">
        <v>0</v>
      </c>
      <c r="C60" s="45" t="s">
        <v>8</v>
      </c>
      <c r="D60" s="53" t="s">
        <v>73</v>
      </c>
      <c r="E60" s="46" t="s">
        <v>6</v>
      </c>
      <c r="F60" s="46" t="s">
        <v>7</v>
      </c>
    </row>
    <row r="61" spans="2:14" hidden="1" x14ac:dyDescent="0.35">
      <c r="B61" s="54" t="s">
        <v>79</v>
      </c>
      <c r="C61" s="55">
        <v>20</v>
      </c>
      <c r="D61" s="55" t="s">
        <v>76</v>
      </c>
      <c r="E61" s="49">
        <f t="shared" ref="E61:E74" si="2">C61/$C$82*100</f>
        <v>21.052631578947366</v>
      </c>
      <c r="F61" s="49">
        <f>E61</f>
        <v>21.052631578947366</v>
      </c>
    </row>
    <row r="62" spans="2:14" hidden="1" x14ac:dyDescent="0.35">
      <c r="B62" s="54" t="s">
        <v>5</v>
      </c>
      <c r="C62" s="55">
        <v>15</v>
      </c>
      <c r="D62" s="55" t="s">
        <v>75</v>
      </c>
      <c r="E62" s="49">
        <f t="shared" si="2"/>
        <v>15.789473684210526</v>
      </c>
      <c r="F62" s="49">
        <f>F61+E62</f>
        <v>36.84210526315789</v>
      </c>
    </row>
    <row r="63" spans="2:14" hidden="1" x14ac:dyDescent="0.35">
      <c r="B63" s="56" t="s">
        <v>4</v>
      </c>
      <c r="C63" s="55">
        <v>10</v>
      </c>
      <c r="D63" s="55" t="s">
        <v>74</v>
      </c>
      <c r="E63" s="49">
        <f t="shared" si="2"/>
        <v>10.526315789473683</v>
      </c>
      <c r="F63" s="49">
        <f t="shared" ref="F63:F81" si="3">F62+E63</f>
        <v>47.368421052631575</v>
      </c>
    </row>
    <row r="64" spans="2:14" hidden="1" x14ac:dyDescent="0.35">
      <c r="B64" s="56" t="s">
        <v>66</v>
      </c>
      <c r="C64" s="55">
        <v>9</v>
      </c>
      <c r="D64" s="55" t="s">
        <v>74</v>
      </c>
      <c r="E64" s="49">
        <f t="shared" si="2"/>
        <v>9.4736842105263168</v>
      </c>
      <c r="F64" s="49">
        <f t="shared" si="3"/>
        <v>56.84210526315789</v>
      </c>
    </row>
    <row r="65" spans="2:6" hidden="1" x14ac:dyDescent="0.35">
      <c r="B65" s="56" t="s">
        <v>77</v>
      </c>
      <c r="C65" s="55">
        <v>5</v>
      </c>
      <c r="D65" s="55" t="s">
        <v>75</v>
      </c>
      <c r="E65" s="49">
        <f t="shared" si="2"/>
        <v>5.2631578947368416</v>
      </c>
      <c r="F65" s="49">
        <f t="shared" si="3"/>
        <v>62.105263157894733</v>
      </c>
    </row>
    <row r="66" spans="2:6" hidden="1" x14ac:dyDescent="0.35">
      <c r="B66" s="56" t="s">
        <v>109</v>
      </c>
      <c r="C66" s="55">
        <v>4</v>
      </c>
      <c r="D66" s="55" t="s">
        <v>74</v>
      </c>
      <c r="E66" s="49">
        <f t="shared" si="2"/>
        <v>4.2105263157894735</v>
      </c>
      <c r="F66" s="49">
        <f t="shared" si="3"/>
        <v>66.315789473684205</v>
      </c>
    </row>
    <row r="67" spans="2:6" hidden="1" x14ac:dyDescent="0.35">
      <c r="B67" s="56" t="s">
        <v>111</v>
      </c>
      <c r="C67" s="55">
        <v>4</v>
      </c>
      <c r="D67" s="55" t="s">
        <v>74</v>
      </c>
      <c r="E67" s="49">
        <f t="shared" si="2"/>
        <v>4.2105263157894735</v>
      </c>
      <c r="F67" s="49">
        <f t="shared" si="3"/>
        <v>70.526315789473685</v>
      </c>
    </row>
    <row r="68" spans="2:6" hidden="1" x14ac:dyDescent="0.35">
      <c r="B68" s="56" t="s">
        <v>81</v>
      </c>
      <c r="C68" s="55">
        <v>4</v>
      </c>
      <c r="D68" s="55" t="s">
        <v>74</v>
      </c>
      <c r="E68" s="49">
        <f t="shared" si="2"/>
        <v>4.2105263157894735</v>
      </c>
      <c r="F68" s="49">
        <f t="shared" si="3"/>
        <v>74.736842105263165</v>
      </c>
    </row>
    <row r="69" spans="2:6" hidden="1" x14ac:dyDescent="0.35">
      <c r="B69" s="56" t="s">
        <v>54</v>
      </c>
      <c r="C69" s="55">
        <v>3</v>
      </c>
      <c r="D69" s="55" t="s">
        <v>75</v>
      </c>
      <c r="E69" s="49">
        <f t="shared" si="2"/>
        <v>3.1578947368421053</v>
      </c>
      <c r="F69" s="49">
        <f t="shared" si="3"/>
        <v>77.894736842105274</v>
      </c>
    </row>
    <row r="70" spans="2:6" hidden="1" x14ac:dyDescent="0.35">
      <c r="B70" s="56" t="s">
        <v>32</v>
      </c>
      <c r="C70" s="55">
        <v>3</v>
      </c>
      <c r="D70" s="55" t="s">
        <v>75</v>
      </c>
      <c r="E70" s="49">
        <f t="shared" si="2"/>
        <v>3.1578947368421053</v>
      </c>
      <c r="F70" s="49">
        <f t="shared" si="3"/>
        <v>81.052631578947384</v>
      </c>
    </row>
    <row r="71" spans="2:6" hidden="1" x14ac:dyDescent="0.35">
      <c r="B71" s="56" t="s">
        <v>78</v>
      </c>
      <c r="C71" s="55">
        <v>3</v>
      </c>
      <c r="D71" s="55" t="s">
        <v>75</v>
      </c>
      <c r="E71" s="49">
        <f t="shared" si="2"/>
        <v>3.1578947368421053</v>
      </c>
      <c r="F71" s="49">
        <f t="shared" si="3"/>
        <v>84.210526315789494</v>
      </c>
    </row>
    <row r="72" spans="2:6" hidden="1" x14ac:dyDescent="0.35">
      <c r="B72" s="56" t="s">
        <v>28</v>
      </c>
      <c r="C72" s="55">
        <v>3</v>
      </c>
      <c r="D72" s="55" t="s">
        <v>74</v>
      </c>
      <c r="E72" s="49">
        <f t="shared" si="2"/>
        <v>3.1578947368421053</v>
      </c>
      <c r="F72" s="49">
        <f t="shared" si="3"/>
        <v>87.368421052631604</v>
      </c>
    </row>
    <row r="73" spans="2:6" hidden="1" x14ac:dyDescent="0.35">
      <c r="B73" s="56" t="s">
        <v>57</v>
      </c>
      <c r="C73" s="55">
        <v>2</v>
      </c>
      <c r="D73" s="55" t="s">
        <v>74</v>
      </c>
      <c r="E73" s="49">
        <f t="shared" si="2"/>
        <v>2.1052631578947367</v>
      </c>
      <c r="F73" s="49">
        <f t="shared" si="3"/>
        <v>89.473684210526343</v>
      </c>
    </row>
    <row r="74" spans="2:6" hidden="1" x14ac:dyDescent="0.35">
      <c r="B74" s="56" t="s">
        <v>116</v>
      </c>
      <c r="C74" s="55">
        <v>2</v>
      </c>
      <c r="D74" s="55" t="s">
        <v>75</v>
      </c>
      <c r="E74" s="49">
        <f t="shared" si="2"/>
        <v>2.1052631578947367</v>
      </c>
      <c r="F74" s="49">
        <f t="shared" si="3"/>
        <v>91.578947368421083</v>
      </c>
    </row>
    <row r="75" spans="2:6" hidden="1" x14ac:dyDescent="0.35">
      <c r="B75" s="56" t="s">
        <v>108</v>
      </c>
      <c r="C75" s="55">
        <v>2</v>
      </c>
      <c r="D75" s="55" t="s">
        <v>76</v>
      </c>
      <c r="E75" s="49">
        <f t="shared" ref="E75:E76" si="4">C75/$C$82*100</f>
        <v>2.1052631578947367</v>
      </c>
      <c r="F75" s="49">
        <f t="shared" si="3"/>
        <v>93.684210526315823</v>
      </c>
    </row>
    <row r="76" spans="2:6" hidden="1" x14ac:dyDescent="0.35">
      <c r="B76" s="56" t="s">
        <v>80</v>
      </c>
      <c r="C76" s="55">
        <v>1</v>
      </c>
      <c r="D76" s="55" t="s">
        <v>74</v>
      </c>
      <c r="E76" s="49">
        <f t="shared" si="4"/>
        <v>1.0526315789473684</v>
      </c>
      <c r="F76" s="49">
        <f t="shared" si="3"/>
        <v>94.736842105263193</v>
      </c>
    </row>
    <row r="77" spans="2:6" hidden="1" x14ac:dyDescent="0.35">
      <c r="B77" s="56" t="s">
        <v>112</v>
      </c>
      <c r="C77" s="55">
        <v>1</v>
      </c>
      <c r="D77" s="55" t="s">
        <v>74</v>
      </c>
      <c r="E77" s="49">
        <f>C77/$C$82*100</f>
        <v>1.0526315789473684</v>
      </c>
      <c r="F77" s="49">
        <f t="shared" si="3"/>
        <v>95.789473684210563</v>
      </c>
    </row>
    <row r="78" spans="2:6" hidden="1" x14ac:dyDescent="0.35">
      <c r="B78" s="56" t="s">
        <v>113</v>
      </c>
      <c r="C78" s="55">
        <v>1</v>
      </c>
      <c r="D78" s="55" t="s">
        <v>75</v>
      </c>
      <c r="E78" s="49">
        <f>C78/$C$82*100</f>
        <v>1.0526315789473684</v>
      </c>
      <c r="F78" s="49">
        <f t="shared" si="3"/>
        <v>96.842105263157933</v>
      </c>
    </row>
    <row r="79" spans="2:6" hidden="1" x14ac:dyDescent="0.35">
      <c r="B79" s="56" t="s">
        <v>114</v>
      </c>
      <c r="C79" s="55">
        <v>1</v>
      </c>
      <c r="D79" s="55" t="s">
        <v>74</v>
      </c>
      <c r="E79" s="49">
        <f>C79/$C$82*100</f>
        <v>1.0526315789473684</v>
      </c>
      <c r="F79" s="49">
        <f t="shared" si="3"/>
        <v>97.894736842105303</v>
      </c>
    </row>
    <row r="80" spans="2:6" hidden="1" x14ac:dyDescent="0.35">
      <c r="B80" s="56" t="s">
        <v>115</v>
      </c>
      <c r="C80" s="55">
        <v>1</v>
      </c>
      <c r="D80" s="55" t="s">
        <v>74</v>
      </c>
      <c r="E80" s="49">
        <f>C80/$C$82*100</f>
        <v>1.0526315789473684</v>
      </c>
      <c r="F80" s="49">
        <f t="shared" si="3"/>
        <v>98.947368421052673</v>
      </c>
    </row>
    <row r="81" spans="2:14" hidden="1" x14ac:dyDescent="0.35">
      <c r="B81" s="56" t="s">
        <v>117</v>
      </c>
      <c r="C81" s="55">
        <v>1</v>
      </c>
      <c r="D81" s="55" t="s">
        <v>74</v>
      </c>
      <c r="E81" s="49">
        <f>C81/$C$82*100</f>
        <v>1.0526315789473684</v>
      </c>
      <c r="F81" s="49">
        <f t="shared" si="3"/>
        <v>100.00000000000004</v>
      </c>
    </row>
    <row r="82" spans="2:14" hidden="1" x14ac:dyDescent="0.35">
      <c r="B82" s="57"/>
      <c r="C82" s="58">
        <f>SUM(C61:C81)</f>
        <v>95</v>
      </c>
      <c r="D82" s="58"/>
      <c r="E82" s="59"/>
      <c r="F82" s="59"/>
    </row>
    <row r="83" spans="2:14" hidden="1" x14ac:dyDescent="0.35">
      <c r="B83" s="5"/>
      <c r="C83" s="6"/>
      <c r="D83" s="6"/>
    </row>
    <row r="84" spans="2:14" ht="18.5" x14ac:dyDescent="0.35">
      <c r="B84" s="11" t="s">
        <v>17</v>
      </c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</row>
    <row r="85" spans="2:14" x14ac:dyDescent="0.35">
      <c r="B85" s="5"/>
      <c r="C85" s="6"/>
      <c r="D85" s="6"/>
    </row>
    <row r="86" spans="2:14" x14ac:dyDescent="0.35">
      <c r="B86" s="21" t="s">
        <v>18</v>
      </c>
      <c r="C86" s="15" t="s">
        <v>19</v>
      </c>
      <c r="D86" s="15"/>
      <c r="E86" s="15" t="s">
        <v>6</v>
      </c>
    </row>
    <row r="87" spans="2:14" x14ac:dyDescent="0.35">
      <c r="B87" s="20" t="s">
        <v>133</v>
      </c>
      <c r="C87" s="1"/>
      <c r="D87" s="1"/>
      <c r="E87" s="24"/>
    </row>
    <row r="88" spans="2:14" x14ac:dyDescent="0.35">
      <c r="B88" s="20" t="s">
        <v>132</v>
      </c>
      <c r="C88" s="1"/>
      <c r="D88" s="1"/>
      <c r="E88" s="24"/>
    </row>
    <row r="89" spans="2:14" x14ac:dyDescent="0.35">
      <c r="B89" s="20" t="s">
        <v>74</v>
      </c>
      <c r="C89" s="1">
        <v>2</v>
      </c>
      <c r="D89" s="1"/>
      <c r="E89" s="24">
        <f>C89/$C$92</f>
        <v>9.0909090909090912E-2</v>
      </c>
    </row>
    <row r="90" spans="2:14" x14ac:dyDescent="0.35">
      <c r="B90" s="20" t="s">
        <v>75</v>
      </c>
      <c r="C90" s="22">
        <v>10</v>
      </c>
      <c r="D90" s="22"/>
      <c r="E90" s="65">
        <f>C90/$C$92</f>
        <v>0.45454545454545453</v>
      </c>
    </row>
    <row r="91" spans="2:14" x14ac:dyDescent="0.35">
      <c r="B91" s="20" t="s">
        <v>76</v>
      </c>
      <c r="C91" s="1">
        <v>10</v>
      </c>
      <c r="D91" s="1"/>
      <c r="E91" s="65">
        <f t="shared" ref="E91" si="5">C91/$C$92</f>
        <v>0.45454545454545453</v>
      </c>
    </row>
    <row r="92" spans="2:14" x14ac:dyDescent="0.35">
      <c r="B92" s="5"/>
      <c r="C92" s="6">
        <f>SUM(C87:C91)</f>
        <v>22</v>
      </c>
      <c r="D92" s="6"/>
    </row>
    <row r="93" spans="2:14" x14ac:dyDescent="0.35">
      <c r="B93" s="5"/>
      <c r="C93" s="6"/>
      <c r="D93" s="6"/>
    </row>
    <row r="94" spans="2:14" x14ac:dyDescent="0.35">
      <c r="B94" s="5"/>
      <c r="C94" s="6"/>
      <c r="D94" s="6"/>
    </row>
    <row r="95" spans="2:14" x14ac:dyDescent="0.35">
      <c r="B95" s="5"/>
      <c r="C95" s="6"/>
      <c r="D95" s="6"/>
    </row>
    <row r="96" spans="2:14" x14ac:dyDescent="0.35">
      <c r="B96" s="5"/>
      <c r="C96" s="6"/>
      <c r="D96" s="6"/>
    </row>
    <row r="97" spans="2:14" x14ac:dyDescent="0.35">
      <c r="B97" s="5"/>
      <c r="C97" s="6"/>
      <c r="D97" s="6"/>
    </row>
    <row r="98" spans="2:14" x14ac:dyDescent="0.35">
      <c r="B98" s="5"/>
      <c r="C98" s="6" t="s">
        <v>127</v>
      </c>
      <c r="D98" s="6"/>
    </row>
    <row r="99" spans="2:14" x14ac:dyDescent="0.35">
      <c r="B99" s="5"/>
      <c r="C99" s="6"/>
      <c r="D99" s="6"/>
    </row>
    <row r="100" spans="2:14" x14ac:dyDescent="0.35">
      <c r="B100" s="5"/>
      <c r="C100" s="6"/>
      <c r="D100" s="6"/>
    </row>
    <row r="101" spans="2:14" hidden="1" x14ac:dyDescent="0.35"/>
    <row r="102" spans="2:14" ht="18.5" hidden="1" x14ac:dyDescent="0.35">
      <c r="B102" s="11" t="s">
        <v>13</v>
      </c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</row>
    <row r="103" spans="2:14" hidden="1" x14ac:dyDescent="0.35">
      <c r="B103" s="9"/>
    </row>
    <row r="104" spans="2:14" hidden="1" x14ac:dyDescent="0.35">
      <c r="B104" s="15" t="s">
        <v>14</v>
      </c>
      <c r="C104" s="16" t="s">
        <v>15</v>
      </c>
      <c r="D104" s="32"/>
      <c r="E104" s="17" t="s">
        <v>6</v>
      </c>
    </row>
    <row r="105" spans="2:14" hidden="1" x14ac:dyDescent="0.35">
      <c r="B105" s="1" t="s">
        <v>2</v>
      </c>
      <c r="C105" s="26"/>
      <c r="D105" s="26"/>
      <c r="E105" s="4" t="e">
        <f t="shared" ref="E105:E116" si="6">C105/$C$117*100</f>
        <v>#DIV/0!</v>
      </c>
    </row>
    <row r="106" spans="2:14" hidden="1" x14ac:dyDescent="0.35">
      <c r="B106" s="1" t="s">
        <v>27</v>
      </c>
      <c r="C106" s="26"/>
      <c r="D106" s="26"/>
      <c r="E106" s="4" t="e">
        <f t="shared" si="6"/>
        <v>#DIV/0!</v>
      </c>
    </row>
    <row r="107" spans="2:14" hidden="1" x14ac:dyDescent="0.35">
      <c r="B107" s="1" t="s">
        <v>31</v>
      </c>
      <c r="C107" s="26"/>
      <c r="D107" s="26"/>
      <c r="E107" s="4" t="e">
        <f t="shared" si="6"/>
        <v>#DIV/0!</v>
      </c>
    </row>
    <row r="108" spans="2:14" hidden="1" x14ac:dyDescent="0.35">
      <c r="B108" s="1" t="s">
        <v>24</v>
      </c>
      <c r="C108" s="26"/>
      <c r="D108" s="26"/>
      <c r="E108" s="4" t="e">
        <f t="shared" si="6"/>
        <v>#DIV/0!</v>
      </c>
    </row>
    <row r="109" spans="2:14" hidden="1" x14ac:dyDescent="0.35">
      <c r="B109" s="1" t="s">
        <v>26</v>
      </c>
      <c r="C109" s="26"/>
      <c r="D109" s="26"/>
      <c r="E109" s="4" t="e">
        <f t="shared" si="6"/>
        <v>#DIV/0!</v>
      </c>
    </row>
    <row r="110" spans="2:14" hidden="1" x14ac:dyDescent="0.35">
      <c r="B110" s="1" t="s">
        <v>3</v>
      </c>
      <c r="C110" s="26"/>
      <c r="D110" s="26"/>
      <c r="E110" s="4" t="e">
        <f t="shared" si="6"/>
        <v>#DIV/0!</v>
      </c>
    </row>
    <row r="111" spans="2:14" hidden="1" x14ac:dyDescent="0.35">
      <c r="B111" s="1" t="s">
        <v>22</v>
      </c>
      <c r="C111" s="26"/>
      <c r="D111" s="26"/>
      <c r="E111" s="4" t="e">
        <f t="shared" si="6"/>
        <v>#DIV/0!</v>
      </c>
    </row>
    <row r="112" spans="2:14" hidden="1" x14ac:dyDescent="0.35">
      <c r="B112" s="1" t="s">
        <v>23</v>
      </c>
      <c r="C112" s="26"/>
      <c r="D112" s="26"/>
      <c r="E112" s="4" t="e">
        <f t="shared" si="6"/>
        <v>#DIV/0!</v>
      </c>
    </row>
    <row r="113" spans="2:5" hidden="1" x14ac:dyDescent="0.35">
      <c r="B113" s="1" t="s">
        <v>33</v>
      </c>
      <c r="C113" s="26"/>
      <c r="D113" s="26"/>
      <c r="E113" s="4" t="e">
        <f t="shared" si="6"/>
        <v>#DIV/0!</v>
      </c>
    </row>
    <row r="114" spans="2:5" hidden="1" x14ac:dyDescent="0.35">
      <c r="B114" s="1" t="s">
        <v>33</v>
      </c>
      <c r="C114" s="26"/>
      <c r="D114" s="26"/>
      <c r="E114" s="4" t="e">
        <f t="shared" si="6"/>
        <v>#DIV/0!</v>
      </c>
    </row>
    <row r="115" spans="2:5" hidden="1" x14ac:dyDescent="0.35">
      <c r="B115" s="1" t="s">
        <v>30</v>
      </c>
      <c r="C115" s="26"/>
      <c r="D115" s="26"/>
      <c r="E115" s="4" t="e">
        <f t="shared" si="6"/>
        <v>#DIV/0!</v>
      </c>
    </row>
    <row r="116" spans="2:5" hidden="1" x14ac:dyDescent="0.35">
      <c r="B116" s="1" t="s">
        <v>34</v>
      </c>
      <c r="C116" s="26"/>
      <c r="D116" s="26"/>
      <c r="E116" s="4" t="e">
        <f t="shared" si="6"/>
        <v>#DIV/0!</v>
      </c>
    </row>
    <row r="117" spans="2:5" hidden="1" x14ac:dyDescent="0.35">
      <c r="C117" s="7">
        <f>SUM(C105:C116)</f>
        <v>0</v>
      </c>
      <c r="D117" s="7"/>
    </row>
    <row r="118" spans="2:5" hidden="1" x14ac:dyDescent="0.35"/>
    <row r="119" spans="2:5" hidden="1" x14ac:dyDescent="0.35"/>
    <row r="120" spans="2:5" hidden="1" x14ac:dyDescent="0.35"/>
    <row r="121" spans="2:5" hidden="1" x14ac:dyDescent="0.35"/>
    <row r="122" spans="2:5" hidden="1" x14ac:dyDescent="0.35">
      <c r="B122" s="8" t="s">
        <v>67</v>
      </c>
    </row>
    <row r="123" spans="2:5" hidden="1" x14ac:dyDescent="0.35">
      <c r="B123" s="30" t="s">
        <v>70</v>
      </c>
      <c r="C123" s="30" t="s">
        <v>71</v>
      </c>
    </row>
    <row r="124" spans="2:5" hidden="1" x14ac:dyDescent="0.35">
      <c r="B124" s="30" t="s">
        <v>31</v>
      </c>
      <c r="C124" s="30">
        <v>4</v>
      </c>
    </row>
    <row r="125" spans="2:5" hidden="1" x14ac:dyDescent="0.35">
      <c r="B125" s="30" t="s">
        <v>3</v>
      </c>
      <c r="C125" s="30">
        <v>4</v>
      </c>
    </row>
    <row r="126" spans="2:5" hidden="1" x14ac:dyDescent="0.35">
      <c r="B126" s="30" t="s">
        <v>68</v>
      </c>
      <c r="C126" s="30">
        <v>1</v>
      </c>
    </row>
    <row r="127" spans="2:5" hidden="1" x14ac:dyDescent="0.35">
      <c r="B127" s="30" t="s">
        <v>69</v>
      </c>
      <c r="C127" s="30">
        <v>1</v>
      </c>
    </row>
    <row r="128" spans="2:5" hidden="1" x14ac:dyDescent="0.35">
      <c r="B128" s="30" t="s">
        <v>27</v>
      </c>
      <c r="C128" s="30">
        <v>1</v>
      </c>
    </row>
    <row r="129" spans="2:4" hidden="1" x14ac:dyDescent="0.35">
      <c r="B129" s="30" t="s">
        <v>26</v>
      </c>
      <c r="C129" s="30">
        <v>1</v>
      </c>
    </row>
    <row r="130" spans="2:4" hidden="1" x14ac:dyDescent="0.35"/>
    <row r="131" spans="2:4" hidden="1" x14ac:dyDescent="0.35"/>
    <row r="132" spans="2:4" hidden="1" x14ac:dyDescent="0.35"/>
    <row r="133" spans="2:4" hidden="1" x14ac:dyDescent="0.35"/>
    <row r="134" spans="2:4" hidden="1" x14ac:dyDescent="0.35"/>
    <row r="135" spans="2:4" hidden="1" x14ac:dyDescent="0.35"/>
    <row r="136" spans="2:4" hidden="1" x14ac:dyDescent="0.35"/>
    <row r="137" spans="2:4" hidden="1" x14ac:dyDescent="0.35"/>
    <row r="138" spans="2:4" hidden="1" x14ac:dyDescent="0.35"/>
    <row r="139" spans="2:4" hidden="1" x14ac:dyDescent="0.35"/>
    <row r="140" spans="2:4" hidden="1" x14ac:dyDescent="0.35"/>
    <row r="141" spans="2:4" hidden="1" x14ac:dyDescent="0.35"/>
    <row r="142" spans="2:4" hidden="1" x14ac:dyDescent="0.35"/>
    <row r="143" spans="2:4" hidden="1" x14ac:dyDescent="0.35">
      <c r="B143" s="7" t="s">
        <v>86</v>
      </c>
      <c r="C143" s="8" t="s">
        <v>89</v>
      </c>
      <c r="D143" s="7" t="s">
        <v>91</v>
      </c>
    </row>
    <row r="144" spans="2:4" hidden="1" x14ac:dyDescent="0.35">
      <c r="B144" s="8" t="s">
        <v>87</v>
      </c>
      <c r="C144" s="7">
        <v>9</v>
      </c>
      <c r="D144" s="8">
        <v>4</v>
      </c>
    </row>
    <row r="145" spans="2:4" hidden="1" x14ac:dyDescent="0.35">
      <c r="B145" s="8" t="s">
        <v>26</v>
      </c>
      <c r="C145" s="7">
        <v>4</v>
      </c>
      <c r="D145" s="8">
        <v>2</v>
      </c>
    </row>
    <row r="146" spans="2:4" hidden="1" x14ac:dyDescent="0.35">
      <c r="B146" s="8" t="s">
        <v>3</v>
      </c>
      <c r="C146" s="7">
        <v>3</v>
      </c>
      <c r="D146" s="8">
        <v>2</v>
      </c>
    </row>
    <row r="147" spans="2:4" hidden="1" x14ac:dyDescent="0.35">
      <c r="B147" s="8" t="s">
        <v>88</v>
      </c>
      <c r="C147" s="7">
        <v>2</v>
      </c>
      <c r="D147" s="8">
        <v>2</v>
      </c>
    </row>
    <row r="148" spans="2:4" hidden="1" x14ac:dyDescent="0.35">
      <c r="B148" s="8" t="s">
        <v>90</v>
      </c>
      <c r="C148" s="7">
        <v>2</v>
      </c>
      <c r="D148" s="8">
        <v>1</v>
      </c>
    </row>
    <row r="149" spans="2:4" hidden="1" x14ac:dyDescent="0.35"/>
    <row r="150" spans="2:4" hidden="1" x14ac:dyDescent="0.35"/>
    <row r="151" spans="2:4" hidden="1" x14ac:dyDescent="0.35"/>
    <row r="152" spans="2:4" hidden="1" x14ac:dyDescent="0.35"/>
    <row r="153" spans="2:4" hidden="1" x14ac:dyDescent="0.35"/>
    <row r="154" spans="2:4" hidden="1" x14ac:dyDescent="0.35"/>
    <row r="155" spans="2:4" hidden="1" x14ac:dyDescent="0.35"/>
    <row r="156" spans="2:4" hidden="1" x14ac:dyDescent="0.35"/>
    <row r="157" spans="2:4" hidden="1" x14ac:dyDescent="0.35"/>
    <row r="158" spans="2:4" hidden="1" x14ac:dyDescent="0.35"/>
    <row r="159" spans="2:4" hidden="1" x14ac:dyDescent="0.35"/>
    <row r="160" spans="2:4" hidden="1" x14ac:dyDescent="0.35"/>
    <row r="161" spans="2:10" hidden="1" x14ac:dyDescent="0.35"/>
    <row r="162" spans="2:10" hidden="1" x14ac:dyDescent="0.35"/>
    <row r="163" spans="2:10" hidden="1" x14ac:dyDescent="0.35"/>
    <row r="164" spans="2:10" hidden="1" x14ac:dyDescent="0.35">
      <c r="H164" s="1" t="s">
        <v>96</v>
      </c>
      <c r="I164" s="1" t="s">
        <v>91</v>
      </c>
      <c r="J164" s="1" t="s">
        <v>97</v>
      </c>
    </row>
    <row r="165" spans="2:10" hidden="1" x14ac:dyDescent="0.35">
      <c r="H165" s="30">
        <v>80042397</v>
      </c>
      <c r="I165" s="30" t="s">
        <v>92</v>
      </c>
      <c r="J165" s="1" t="s">
        <v>98</v>
      </c>
    </row>
    <row r="166" spans="2:10" hidden="1" x14ac:dyDescent="0.35">
      <c r="B166" s="8" t="s">
        <v>97</v>
      </c>
      <c r="C166" s="8">
        <v>2</v>
      </c>
      <c r="H166" s="30">
        <v>80038231</v>
      </c>
      <c r="I166" s="30" t="s">
        <v>93</v>
      </c>
      <c r="J166" s="1" t="s">
        <v>99</v>
      </c>
    </row>
    <row r="167" spans="2:10" hidden="1" x14ac:dyDescent="0.35">
      <c r="B167" s="8" t="s">
        <v>100</v>
      </c>
      <c r="C167" s="8">
        <v>9</v>
      </c>
      <c r="H167" s="30">
        <v>80038232</v>
      </c>
      <c r="I167" s="30" t="s">
        <v>94</v>
      </c>
      <c r="J167" s="1" t="s">
        <v>99</v>
      </c>
    </row>
    <row r="168" spans="2:10" hidden="1" x14ac:dyDescent="0.35">
      <c r="H168" s="30">
        <v>80038230</v>
      </c>
      <c r="I168" s="30" t="s">
        <v>95</v>
      </c>
      <c r="J168" s="1" t="s">
        <v>99</v>
      </c>
    </row>
    <row r="169" spans="2:10" hidden="1" x14ac:dyDescent="0.35"/>
    <row r="170" spans="2:10" hidden="1" x14ac:dyDescent="0.35"/>
    <row r="171" spans="2:10" hidden="1" x14ac:dyDescent="0.35"/>
    <row r="172" spans="2:10" hidden="1" x14ac:dyDescent="0.35"/>
    <row r="173" spans="2:10" hidden="1" x14ac:dyDescent="0.35"/>
    <row r="174" spans="2:10" hidden="1" x14ac:dyDescent="0.35"/>
    <row r="175" spans="2:10" hidden="1" x14ac:dyDescent="0.35"/>
    <row r="176" spans="2:10" hidden="1" x14ac:dyDescent="0.35">
      <c r="B176" s="8" t="s">
        <v>106</v>
      </c>
      <c r="C176" s="8" t="s">
        <v>107</v>
      </c>
    </row>
    <row r="177" spans="5:6" hidden="1" x14ac:dyDescent="0.35"/>
    <row r="178" spans="5:6" hidden="1" x14ac:dyDescent="0.35"/>
    <row r="179" spans="5:6" hidden="1" x14ac:dyDescent="0.35">
      <c r="E179" s="8" t="s">
        <v>27</v>
      </c>
      <c r="F179" s="8">
        <v>16</v>
      </c>
    </row>
    <row r="180" spans="5:6" hidden="1" x14ac:dyDescent="0.35">
      <c r="E180" s="8" t="s">
        <v>119</v>
      </c>
      <c r="F180" s="8">
        <v>5</v>
      </c>
    </row>
    <row r="181" spans="5:6" hidden="1" x14ac:dyDescent="0.35">
      <c r="E181" s="8" t="s">
        <v>3</v>
      </c>
      <c r="F181" s="8">
        <v>3</v>
      </c>
    </row>
    <row r="182" spans="5:6" hidden="1" x14ac:dyDescent="0.35">
      <c r="E182" s="8" t="s">
        <v>2</v>
      </c>
      <c r="F182" s="8">
        <v>1</v>
      </c>
    </row>
    <row r="183" spans="5:6" hidden="1" x14ac:dyDescent="0.35"/>
    <row r="184" spans="5:6" hidden="1" x14ac:dyDescent="0.35"/>
    <row r="185" spans="5:6" hidden="1" x14ac:dyDescent="0.35"/>
    <row r="186" spans="5:6" hidden="1" x14ac:dyDescent="0.35"/>
    <row r="187" spans="5:6" hidden="1" x14ac:dyDescent="0.35"/>
    <row r="188" spans="5:6" hidden="1" x14ac:dyDescent="0.35"/>
    <row r="189" spans="5:6" hidden="1" x14ac:dyDescent="0.35"/>
    <row r="190" spans="5:6" hidden="1" x14ac:dyDescent="0.35"/>
    <row r="191" spans="5:6" hidden="1" x14ac:dyDescent="0.35"/>
    <row r="192" spans="5:6" hidden="1" x14ac:dyDescent="0.35"/>
    <row r="193" hidden="1" x14ac:dyDescent="0.35"/>
    <row r="194" hidden="1" x14ac:dyDescent="0.35"/>
    <row r="195" hidden="1" x14ac:dyDescent="0.35"/>
    <row r="196" hidden="1" x14ac:dyDescent="0.35"/>
    <row r="197" hidden="1" x14ac:dyDescent="0.35"/>
    <row r="198" hidden="1" x14ac:dyDescent="0.35"/>
    <row r="199" hidden="1" x14ac:dyDescent="0.35"/>
    <row r="200" hidden="1" x14ac:dyDescent="0.35"/>
    <row r="201" hidden="1" x14ac:dyDescent="0.35"/>
    <row r="202" hidden="1" x14ac:dyDescent="0.35"/>
    <row r="203" hidden="1" x14ac:dyDescent="0.35"/>
    <row r="204" hidden="1" x14ac:dyDescent="0.35"/>
    <row r="205" hidden="1" x14ac:dyDescent="0.35"/>
    <row r="206" hidden="1" x14ac:dyDescent="0.35"/>
    <row r="207" hidden="1" x14ac:dyDescent="0.35"/>
    <row r="208" hidden="1" x14ac:dyDescent="0.35"/>
    <row r="209" hidden="1" x14ac:dyDescent="0.35"/>
    <row r="210" hidden="1" x14ac:dyDescent="0.35"/>
    <row r="211" hidden="1" x14ac:dyDescent="0.35"/>
    <row r="212" hidden="1" x14ac:dyDescent="0.35"/>
    <row r="213" hidden="1" x14ac:dyDescent="0.35"/>
    <row r="214" hidden="1" x14ac:dyDescent="0.35"/>
    <row r="215" hidden="1" x14ac:dyDescent="0.35"/>
    <row r="216" hidden="1" x14ac:dyDescent="0.35"/>
    <row r="217" hidden="1" x14ac:dyDescent="0.35"/>
    <row r="218" hidden="1" x14ac:dyDescent="0.35"/>
    <row r="219" hidden="1" x14ac:dyDescent="0.35"/>
    <row r="220" hidden="1" x14ac:dyDescent="0.35"/>
    <row r="221" hidden="1" x14ac:dyDescent="0.35"/>
    <row r="222" hidden="1" x14ac:dyDescent="0.35"/>
    <row r="223" hidden="1" x14ac:dyDescent="0.35"/>
    <row r="224" hidden="1" x14ac:dyDescent="0.35"/>
    <row r="225" hidden="1" x14ac:dyDescent="0.35"/>
    <row r="226" hidden="1" x14ac:dyDescent="0.35"/>
    <row r="227" hidden="1" x14ac:dyDescent="0.35"/>
    <row r="228" hidden="1" x14ac:dyDescent="0.35"/>
    <row r="229" hidden="1" x14ac:dyDescent="0.35"/>
    <row r="230" hidden="1" x14ac:dyDescent="0.35"/>
    <row r="231" hidden="1" x14ac:dyDescent="0.35"/>
    <row r="232" hidden="1" x14ac:dyDescent="0.35"/>
    <row r="233" hidden="1" x14ac:dyDescent="0.35"/>
    <row r="234" hidden="1" x14ac:dyDescent="0.35"/>
    <row r="235" hidden="1" x14ac:dyDescent="0.35"/>
    <row r="236" hidden="1" x14ac:dyDescent="0.35"/>
    <row r="237" hidden="1" x14ac:dyDescent="0.35"/>
    <row r="238" hidden="1" x14ac:dyDescent="0.35"/>
    <row r="239" hidden="1" x14ac:dyDescent="0.35"/>
    <row r="240" hidden="1" x14ac:dyDescent="0.35"/>
    <row r="241" hidden="1" x14ac:dyDescent="0.35"/>
    <row r="242" hidden="1" x14ac:dyDescent="0.35"/>
    <row r="243" hidden="1" x14ac:dyDescent="0.35"/>
    <row r="244" hidden="1" x14ac:dyDescent="0.35"/>
    <row r="245" hidden="1" x14ac:dyDescent="0.35"/>
    <row r="246" hidden="1" x14ac:dyDescent="0.35"/>
    <row r="247" hidden="1" x14ac:dyDescent="0.35"/>
    <row r="248" hidden="1" x14ac:dyDescent="0.35"/>
    <row r="249" hidden="1" x14ac:dyDescent="0.35"/>
    <row r="250" hidden="1" x14ac:dyDescent="0.35"/>
    <row r="251" hidden="1" x14ac:dyDescent="0.35"/>
    <row r="252" hidden="1" x14ac:dyDescent="0.35"/>
    <row r="253" hidden="1" x14ac:dyDescent="0.35"/>
    <row r="254" hidden="1" x14ac:dyDescent="0.35"/>
    <row r="255" hidden="1" x14ac:dyDescent="0.35"/>
    <row r="256" hidden="1" x14ac:dyDescent="0.35"/>
    <row r="257" hidden="1" x14ac:dyDescent="0.35"/>
    <row r="258" hidden="1" x14ac:dyDescent="0.35"/>
    <row r="259" hidden="1" x14ac:dyDescent="0.35"/>
    <row r="260" hidden="1" x14ac:dyDescent="0.35"/>
    <row r="261" hidden="1" x14ac:dyDescent="0.35"/>
    <row r="262" hidden="1" x14ac:dyDescent="0.35"/>
    <row r="263" hidden="1" x14ac:dyDescent="0.35"/>
    <row r="264" hidden="1" x14ac:dyDescent="0.35"/>
    <row r="265" hidden="1" x14ac:dyDescent="0.35"/>
    <row r="266" hidden="1" x14ac:dyDescent="0.35"/>
    <row r="267" hidden="1" x14ac:dyDescent="0.35"/>
    <row r="268" hidden="1" x14ac:dyDescent="0.35"/>
    <row r="269" hidden="1" x14ac:dyDescent="0.35"/>
    <row r="270" hidden="1" x14ac:dyDescent="0.35"/>
    <row r="271" hidden="1" x14ac:dyDescent="0.35"/>
    <row r="272" hidden="1" x14ac:dyDescent="0.35"/>
    <row r="273" hidden="1" x14ac:dyDescent="0.35"/>
    <row r="274" hidden="1" x14ac:dyDescent="0.35"/>
    <row r="275" hidden="1" x14ac:dyDescent="0.35"/>
    <row r="276" hidden="1" x14ac:dyDescent="0.35"/>
    <row r="277" hidden="1" x14ac:dyDescent="0.35"/>
    <row r="278" hidden="1" x14ac:dyDescent="0.35"/>
    <row r="279" hidden="1" x14ac:dyDescent="0.35"/>
    <row r="280" hidden="1" x14ac:dyDescent="0.35"/>
    <row r="281" hidden="1" x14ac:dyDescent="0.35"/>
    <row r="282" hidden="1" x14ac:dyDescent="0.35"/>
    <row r="283" hidden="1" x14ac:dyDescent="0.35"/>
    <row r="284" hidden="1" x14ac:dyDescent="0.35"/>
    <row r="285" hidden="1" x14ac:dyDescent="0.35"/>
    <row r="286" hidden="1" x14ac:dyDescent="0.35"/>
  </sheetData>
  <autoFilter ref="B34:F58" xr:uid="{00000000-0009-0000-0000-000002000000}"/>
  <sortState xmlns:xlrd2="http://schemas.microsoft.com/office/spreadsheetml/2017/richdata2" ref="E172:F175">
    <sortCondition descending="1" ref="F172:F175"/>
  </sortState>
  <mergeCells count="5">
    <mergeCell ref="C6:E6"/>
    <mergeCell ref="F6:G6"/>
    <mergeCell ref="C7:E7"/>
    <mergeCell ref="F7:G7"/>
    <mergeCell ref="B1:M2"/>
  </mergeCells>
  <phoneticPr fontId="18" type="noConversion"/>
  <printOptions horizontalCentered="1" verticalCentered="1"/>
  <pageMargins left="0" right="0" top="0" bottom="0" header="0" footer="0"/>
  <pageSetup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Defect WIP</vt:lpstr>
      <vt:lpstr>Resume WIP</vt:lpstr>
      <vt:lpstr>Defect FG</vt:lpstr>
      <vt:lpstr>Resume FG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PC300012571</dc:creator>
  <cp:lastModifiedBy>Toyyibal Ardani</cp:lastModifiedBy>
  <cp:lastPrinted>2025-08-18T07:17:15Z</cp:lastPrinted>
  <dcterms:created xsi:type="dcterms:W3CDTF">2023-03-30T04:28:07Z</dcterms:created>
  <dcterms:modified xsi:type="dcterms:W3CDTF">2026-09-10T03:05:10Z</dcterms:modified>
</cp:coreProperties>
</file>